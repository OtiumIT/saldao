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ocuments\SALDÃO\2026\"/>
    </mc:Choice>
  </mc:AlternateContent>
  <xr:revisionPtr revIDLastSave="0" documentId="13_ncr:1_{DE6E0B31-58B9-4A92-85B3-1A2E70BD2FF9}" xr6:coauthVersionLast="47" xr6:coauthVersionMax="47" xr10:uidLastSave="{00000000-0000-0000-0000-000000000000}"/>
  <bookViews>
    <workbookView xWindow="-120" yWindow="-120" windowWidth="20730" windowHeight="11160" xr2:uid="{EFAD3859-11DB-49BC-8FBB-179087C1B549}"/>
  </bookViews>
  <sheets>
    <sheet name="HIPER" sheetId="3" r:id="rId1"/>
    <sheet name="PERNAMBUC" sheetId="4" r:id="rId2"/>
    <sheet name="LIFE COLCHAO" sheetId="5" r:id="rId3"/>
    <sheet name="TAPETE EVANDRO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3" l="1"/>
  <c r="J51" i="3"/>
  <c r="I51" i="3"/>
  <c r="G51" i="3"/>
  <c r="E51" i="3"/>
  <c r="J50" i="3"/>
  <c r="I50" i="3"/>
  <c r="G50" i="3"/>
  <c r="E50" i="3"/>
  <c r="J49" i="3"/>
  <c r="I49" i="3"/>
  <c r="G49" i="3"/>
  <c r="E49" i="3"/>
  <c r="J48" i="3"/>
  <c r="I48" i="3"/>
  <c r="G48" i="3"/>
  <c r="E48" i="3"/>
  <c r="J47" i="3"/>
  <c r="I47" i="3"/>
  <c r="G47" i="3"/>
  <c r="J46" i="3"/>
  <c r="I46" i="3"/>
  <c r="G46" i="3"/>
  <c r="E46" i="3"/>
  <c r="J45" i="3"/>
  <c r="I45" i="3"/>
  <c r="G45" i="3"/>
  <c r="E45" i="3"/>
  <c r="J44" i="3"/>
  <c r="I44" i="3"/>
  <c r="G44" i="3"/>
  <c r="E44" i="3"/>
  <c r="J43" i="3"/>
  <c r="I43" i="3"/>
  <c r="G43" i="3"/>
  <c r="E43" i="3"/>
  <c r="J40" i="3"/>
  <c r="J41" i="3"/>
  <c r="J42" i="3"/>
  <c r="I40" i="3"/>
  <c r="I41" i="3"/>
  <c r="I42" i="3"/>
  <c r="G40" i="3"/>
  <c r="G41" i="3"/>
  <c r="G42" i="3"/>
  <c r="E40" i="3"/>
  <c r="E41" i="3"/>
  <c r="E42" i="3"/>
  <c r="J5" i="6" l="1"/>
  <c r="J6" i="6"/>
  <c r="J7" i="6"/>
  <c r="I5" i="6"/>
  <c r="I6" i="6"/>
  <c r="I7" i="6"/>
  <c r="G5" i="6"/>
  <c r="G6" i="6"/>
  <c r="G7" i="6"/>
  <c r="E5" i="6"/>
  <c r="E6" i="6"/>
  <c r="E7" i="6"/>
  <c r="J4" i="6"/>
  <c r="I4" i="6"/>
  <c r="G4" i="6"/>
  <c r="E4" i="6"/>
  <c r="J4" i="5"/>
  <c r="I4" i="5"/>
  <c r="G4" i="5"/>
  <c r="E4" i="5"/>
  <c r="J4" i="4"/>
  <c r="I4" i="4"/>
  <c r="G4" i="4"/>
  <c r="E4" i="4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G39" i="3" l="1"/>
  <c r="E39" i="3"/>
  <c r="G38" i="3"/>
  <c r="E38" i="3"/>
  <c r="G37" i="3"/>
  <c r="E37" i="3"/>
  <c r="G20" i="3"/>
  <c r="E20" i="3"/>
  <c r="G5" i="3"/>
  <c r="E5" i="3"/>
  <c r="E6" i="3"/>
  <c r="G6" i="3"/>
  <c r="I4" i="3"/>
  <c r="J4" i="3"/>
  <c r="G30" i="3"/>
  <c r="G29" i="3"/>
  <c r="G21" i="3"/>
  <c r="E30" i="3"/>
  <c r="E29" i="3"/>
  <c r="E21" i="3"/>
  <c r="G36" i="3"/>
  <c r="E36" i="3"/>
  <c r="G35" i="3"/>
  <c r="E35" i="3"/>
  <c r="G34" i="3"/>
  <c r="E34" i="3"/>
  <c r="G33" i="3"/>
  <c r="E33" i="3"/>
  <c r="G32" i="3"/>
  <c r="E32" i="3"/>
  <c r="G31" i="3"/>
  <c r="E31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4" i="3"/>
  <c r="E4" i="3"/>
</calcChain>
</file>

<file path=xl/sharedStrings.xml><?xml version="1.0" encoding="utf-8"?>
<sst xmlns="http://schemas.openxmlformats.org/spreadsheetml/2006/main" count="94" uniqueCount="61">
  <si>
    <t>DESCRIÇÃO</t>
  </si>
  <si>
    <t>QUANTIDADE</t>
  </si>
  <si>
    <t>VALOR UNIT.</t>
  </si>
  <si>
    <t>VALOR TOTAL</t>
  </si>
  <si>
    <t>BALCAO COOKTOP</t>
  </si>
  <si>
    <t>PREÇO REVENDA</t>
  </si>
  <si>
    <t>BALCAO PIA 1,20 BRANCO</t>
  </si>
  <si>
    <t>ARMARIO MILA 1,20 BRANCO</t>
  </si>
  <si>
    <t>ARMARIO MILA 1,20 GRAFITE/FREIJO</t>
  </si>
  <si>
    <t>BALCAO PIA 1,20 GRAFITE/FREIJO</t>
  </si>
  <si>
    <t>BALCAO PIA 1,20 OFF/FREIJO</t>
  </si>
  <si>
    <t>BALCAO VIENA FREIJO/BRANCO</t>
  </si>
  <si>
    <t>BALCAO VIENA BRANCO</t>
  </si>
  <si>
    <t>BALCAO DUNA BRANCO</t>
  </si>
  <si>
    <t>COZINHA COMPACTA ZURIQUE COMPLETA FREIJ/CAMURCA</t>
  </si>
  <si>
    <t>COZINHA COMPACTA VERSALES COMPLETA FREIJ/GRISS</t>
  </si>
  <si>
    <t>COZINHA COMPACTA VERSALES COMPLETA FREIJ/SOFT</t>
  </si>
  <si>
    <t>BUFFET RETRO 3P CANELATO3D/NATURA OFF 5336</t>
  </si>
  <si>
    <t>BUFFET RETRO 3P NATURA OFF/WOOD AMAD5336</t>
  </si>
  <si>
    <t>BUFFET RETRO 2P NATURA OFF/WOOD AMAD 5337</t>
  </si>
  <si>
    <t>BUFFET CAIRO BRANCO</t>
  </si>
  <si>
    <t>BUFFET CAIRO FREIJO/BRANCO</t>
  </si>
  <si>
    <t>GUARDA ROUPA NEW XANGAI 6 PORTAS BRANCO</t>
  </si>
  <si>
    <t>GUARA ROUPA BURITI 4PORTAS JATOBA</t>
  </si>
  <si>
    <t>GUARA ROUPA FIT 3,2 BRANCO</t>
  </si>
  <si>
    <t>CAMA ROBUSTA SOLTEIRO BRANCO</t>
  </si>
  <si>
    <t>COMODA FIT 1,4BRANCA</t>
  </si>
  <si>
    <t>COMODA FIT 1,4JEQUITIBA</t>
  </si>
  <si>
    <t>COMODA FIT 1,4 JEQUITBA/OFF</t>
  </si>
  <si>
    <t>BASE CASAL</t>
  </si>
  <si>
    <t>CAMA ANGEL NUVEM BRANCA</t>
  </si>
  <si>
    <t>CONTROLE ESTOQUE E VENDAS JANEIRO 2026</t>
  </si>
  <si>
    <t>LUCRO UNIT</t>
  </si>
  <si>
    <t>LUCRO TOTAL</t>
  </si>
  <si>
    <t>VENDIDO</t>
  </si>
  <si>
    <t>ESTOQUE</t>
  </si>
  <si>
    <t>LUCRO MENSAL</t>
  </si>
  <si>
    <t>ARMARIO MILA 1,20 OFF/FREIJO</t>
  </si>
  <si>
    <t>BUFFET CAIRO PRETO</t>
  </si>
  <si>
    <t>PENTEADEIRA</t>
  </si>
  <si>
    <t>FRUTEIRA</t>
  </si>
  <si>
    <t>PAINEL TV</t>
  </si>
  <si>
    <t>GUARDA ROUPA PORTA CORRER PORTO VELHO</t>
  </si>
  <si>
    <t>MESA BRANCA COM GAVETA</t>
  </si>
  <si>
    <t>MESA PLASTICA PRETA</t>
  </si>
  <si>
    <t>CADEIRAS PLASTICA PRETA</t>
  </si>
  <si>
    <t>CABICEIRA SOLTEIRO</t>
  </si>
  <si>
    <t>COLCHAO CASAL</t>
  </si>
  <si>
    <t>TAPETE ESTAMPADO 1,40X1</t>
  </si>
  <si>
    <t>TAPETE ESTAMPADO 1,40X2</t>
  </si>
  <si>
    <t>TAPETE PELO 1,40X1</t>
  </si>
  <si>
    <t>TAPETE PELO 1,40X2</t>
  </si>
  <si>
    <t>KIT BALI BRANCO</t>
  </si>
  <si>
    <t>KIT BALI GRAFITE</t>
  </si>
  <si>
    <t>KIT BALI OFF</t>
  </si>
  <si>
    <t>SAPATEIRA CLICK BRAMCA</t>
  </si>
  <si>
    <t>SAPATEIRA CLICK MARROM</t>
  </si>
  <si>
    <t>SAPATEIRA CLCIK PRETA</t>
  </si>
  <si>
    <t>BASE SOLTEIRA</t>
  </si>
  <si>
    <t>MESA COM BANCO BRANCA</t>
  </si>
  <si>
    <t>MESA COM BANCO PRETA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</si>
</sst>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16" fontId="0" fillId="0" borderId="1" xfId="0" applyNumberFormat="1" applyBorder="1"/>
    <xf numFmtId="44" fontId="0" fillId="0" borderId="1" xfId="1" applyFont="1" applyBorder="1"/>
    <xf numFmtId="44" fontId="0" fillId="0" borderId="1" xfId="0" applyNumberFormat="1" applyBorder="1"/>
    <xf numFmtId="0" fontId="0" fillId="0" borderId="5" xfId="0" applyBorder="1"/>
    <xf numFmtId="44" fontId="0" fillId="0" borderId="5" xfId="1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F055-98EF-43D7-A1AA-9804F74ED351}">
  <dimension ref="A1:J51"/>
  <sheetViews>
    <sheetView tabSelected="1" topLeftCell="A11" workbookViewId="0">
      <selection activeCell="H12" sqref="H12"/>
    </sheetView>
  </sheetViews>
  <sheetFormatPr defaultRowHeight="15" x14ac:dyDescent="0.25"/>
  <cols>
    <col min="2" max="2" width="12.7109375" customWidth="1"/>
    <col min="3" max="3" width="54.85546875" customWidth="1"/>
    <col min="4" max="5" width="17" customWidth="1"/>
    <col min="6" max="6" width="18" customWidth="1"/>
    <col min="7" max="7" width="13.7109375" customWidth="1"/>
    <col min="8" max="8" width="11.7109375" customWidth="1"/>
    <col min="9" max="9" width="15.42578125" customWidth="1"/>
    <col min="10" max="10" width="12" customWidth="1"/>
  </cols>
  <sheetData>
    <row r="1" spans="1:10" x14ac:dyDescent="0.25">
      <c r="A1" s="7" t="s">
        <v>31</v>
      </c>
      <c r="B1" s="8"/>
      <c r="C1" s="8"/>
      <c r="D1" s="8"/>
      <c r="E1" s="8"/>
      <c r="F1" s="8"/>
      <c r="G1" s="9"/>
    </row>
    <row r="2" spans="1:10" x14ac:dyDescent="0.25">
      <c r="A2" s="1"/>
      <c r="B2" s="2">
        <v>46021</v>
      </c>
      <c r="C2" s="1"/>
      <c r="D2" s="1"/>
      <c r="E2" s="1"/>
      <c r="F2" s="1"/>
      <c r="G2" s="1"/>
      <c r="H2" s="1"/>
      <c r="I2" s="1" t="s">
        <v>36</v>
      </c>
      <c r="J2" s="1"/>
    </row>
    <row r="3" spans="1:10" x14ac:dyDescent="0.25">
      <c r="A3" s="1"/>
      <c r="B3" s="1" t="s">
        <v>1</v>
      </c>
      <c r="C3" s="1" t="s">
        <v>0</v>
      </c>
      <c r="D3" s="1" t="s">
        <v>2</v>
      </c>
      <c r="E3" s="1" t="s">
        <v>3</v>
      </c>
      <c r="F3" s="1" t="s">
        <v>5</v>
      </c>
      <c r="G3" s="1" t="s">
        <v>33</v>
      </c>
      <c r="H3" s="1" t="s">
        <v>34</v>
      </c>
      <c r="I3" s="1" t="s">
        <v>32</v>
      </c>
      <c r="J3" s="1" t="s">
        <v>35</v>
      </c>
    </row>
    <row r="4" spans="1:10" x14ac:dyDescent="0.25">
      <c r="A4" s="1"/>
      <c r="B4" s="1">
        <v>5</v>
      </c>
      <c r="C4" s="1" t="s">
        <v>7</v>
      </c>
      <c r="D4" s="3">
        <v>182.52</v>
      </c>
      <c r="E4" s="3">
        <f>D4*B4</f>
        <v>912.6</v>
      </c>
      <c r="F4" s="3">
        <v>269</v>
      </c>
      <c r="G4" s="3">
        <f>(F4-D4)*B4</f>
        <v>432.4</v>
      </c>
      <c r="H4" s="1">
        <v>1</v>
      </c>
      <c r="I4" s="4">
        <f>(F4-D4)*H4</f>
        <v>86.47999999999999</v>
      </c>
      <c r="J4" s="1">
        <f>B4-H4</f>
        <v>4</v>
      </c>
    </row>
    <row r="5" spans="1:10" x14ac:dyDescent="0.25">
      <c r="A5" s="1"/>
      <c r="B5" s="1">
        <v>5</v>
      </c>
      <c r="C5" s="1" t="s">
        <v>37</v>
      </c>
      <c r="D5" s="3">
        <v>182.52</v>
      </c>
      <c r="E5" s="3">
        <f>D5*B5</f>
        <v>912.6</v>
      </c>
      <c r="F5" s="3">
        <v>269</v>
      </c>
      <c r="G5" s="3">
        <f>(F5-D5)*B5</f>
        <v>432.4</v>
      </c>
      <c r="H5" s="1">
        <v>1</v>
      </c>
      <c r="I5" s="4">
        <f t="shared" ref="I5:I42" si="0">(F5-D5)*H5</f>
        <v>86.47999999999999</v>
      </c>
      <c r="J5" s="1">
        <f t="shared" ref="J5:J42" si="1">B5-H5</f>
        <v>4</v>
      </c>
    </row>
    <row r="6" spans="1:10" x14ac:dyDescent="0.25">
      <c r="A6" s="1"/>
      <c r="B6" s="1">
        <v>5</v>
      </c>
      <c r="C6" s="1" t="s">
        <v>8</v>
      </c>
      <c r="D6" s="3">
        <v>182.52</v>
      </c>
      <c r="E6" s="3">
        <f t="shared" ref="E6:E21" si="2">D6*B6</f>
        <v>912.6</v>
      </c>
      <c r="F6" s="3">
        <v>269</v>
      </c>
      <c r="G6" s="3">
        <f t="shared" ref="G6:G21" si="3">(F6-D6)*B6</f>
        <v>432.4</v>
      </c>
      <c r="H6" s="1">
        <v>1</v>
      </c>
      <c r="I6" s="4">
        <f t="shared" si="0"/>
        <v>86.47999999999999</v>
      </c>
      <c r="J6" s="1">
        <f t="shared" si="1"/>
        <v>4</v>
      </c>
    </row>
    <row r="7" spans="1:10" x14ac:dyDescent="0.25">
      <c r="A7" s="1"/>
      <c r="B7" s="1">
        <v>5</v>
      </c>
      <c r="C7" s="1" t="s">
        <v>6</v>
      </c>
      <c r="D7" s="3">
        <v>246.41</v>
      </c>
      <c r="E7" s="3">
        <f t="shared" si="2"/>
        <v>1232.05</v>
      </c>
      <c r="F7" s="3">
        <v>369</v>
      </c>
      <c r="G7" s="3">
        <f t="shared" si="3"/>
        <v>612.95000000000005</v>
      </c>
      <c r="H7" s="1">
        <v>3</v>
      </c>
      <c r="I7" s="4">
        <f t="shared" si="0"/>
        <v>367.77</v>
      </c>
      <c r="J7" s="1">
        <f t="shared" si="1"/>
        <v>2</v>
      </c>
    </row>
    <row r="8" spans="1:10" x14ac:dyDescent="0.25">
      <c r="A8" s="1"/>
      <c r="B8" s="1">
        <v>8</v>
      </c>
      <c r="C8" s="1" t="s">
        <v>9</v>
      </c>
      <c r="D8" s="3">
        <v>246.41</v>
      </c>
      <c r="E8" s="3">
        <f t="shared" si="2"/>
        <v>1971.28</v>
      </c>
      <c r="F8" s="3">
        <v>369</v>
      </c>
      <c r="G8" s="3">
        <f t="shared" si="3"/>
        <v>980.72</v>
      </c>
      <c r="H8" s="1">
        <v>3</v>
      </c>
      <c r="I8" s="4">
        <f t="shared" si="0"/>
        <v>367.77</v>
      </c>
      <c r="J8" s="1">
        <f t="shared" si="1"/>
        <v>5</v>
      </c>
    </row>
    <row r="9" spans="1:10" x14ac:dyDescent="0.25">
      <c r="A9" s="1"/>
      <c r="B9" s="1">
        <v>5</v>
      </c>
      <c r="C9" s="1" t="s">
        <v>10</v>
      </c>
      <c r="D9" s="3">
        <v>246.41</v>
      </c>
      <c r="E9" s="3">
        <f t="shared" si="2"/>
        <v>1232.05</v>
      </c>
      <c r="F9" s="3">
        <v>369</v>
      </c>
      <c r="G9" s="3">
        <f t="shared" si="3"/>
        <v>612.95000000000005</v>
      </c>
      <c r="H9" s="1">
        <v>1</v>
      </c>
      <c r="I9" s="4">
        <f t="shared" si="0"/>
        <v>122.59</v>
      </c>
      <c r="J9" s="1">
        <f t="shared" si="1"/>
        <v>4</v>
      </c>
    </row>
    <row r="10" spans="1:10" x14ac:dyDescent="0.25">
      <c r="A10" s="1"/>
      <c r="B10" s="1">
        <v>3</v>
      </c>
      <c r="C10" s="1" t="s">
        <v>11</v>
      </c>
      <c r="D10" s="3">
        <v>136.9</v>
      </c>
      <c r="E10" s="3">
        <f t="shared" si="2"/>
        <v>410.70000000000005</v>
      </c>
      <c r="F10" s="3">
        <v>189</v>
      </c>
      <c r="G10" s="3">
        <f t="shared" si="3"/>
        <v>156.29999999999998</v>
      </c>
      <c r="H10" s="1">
        <v>1</v>
      </c>
      <c r="I10" s="4">
        <f t="shared" si="0"/>
        <v>52.099999999999994</v>
      </c>
      <c r="J10" s="1">
        <f t="shared" si="1"/>
        <v>2</v>
      </c>
    </row>
    <row r="11" spans="1:10" x14ac:dyDescent="0.25">
      <c r="A11" s="1"/>
      <c r="B11" s="1">
        <v>3</v>
      </c>
      <c r="C11" s="1" t="s">
        <v>12</v>
      </c>
      <c r="D11" s="3">
        <v>136.9</v>
      </c>
      <c r="E11" s="3">
        <f t="shared" si="2"/>
        <v>410.70000000000005</v>
      </c>
      <c r="F11" s="3">
        <v>189</v>
      </c>
      <c r="G11" s="3">
        <f t="shared" si="3"/>
        <v>156.29999999999998</v>
      </c>
      <c r="H11" s="1">
        <v>1</v>
      </c>
      <c r="I11" s="4">
        <f t="shared" si="0"/>
        <v>52.099999999999994</v>
      </c>
      <c r="J11" s="1">
        <f t="shared" si="1"/>
        <v>2</v>
      </c>
    </row>
    <row r="12" spans="1:10" x14ac:dyDescent="0.25">
      <c r="A12" s="1"/>
      <c r="B12" s="1">
        <v>5</v>
      </c>
      <c r="C12" s="1" t="s">
        <v>13</v>
      </c>
      <c r="D12" s="3">
        <v>162.44999999999999</v>
      </c>
      <c r="E12" s="3">
        <f t="shared" si="2"/>
        <v>812.25</v>
      </c>
      <c r="F12" s="3">
        <v>239</v>
      </c>
      <c r="G12" s="3">
        <f t="shared" si="3"/>
        <v>382.75000000000006</v>
      </c>
      <c r="H12" s="1">
        <v>2</v>
      </c>
      <c r="I12" s="4">
        <f t="shared" si="0"/>
        <v>153.10000000000002</v>
      </c>
      <c r="J12" s="1">
        <f t="shared" si="1"/>
        <v>3</v>
      </c>
    </row>
    <row r="13" spans="1:10" x14ac:dyDescent="0.25">
      <c r="B13" s="1">
        <v>2</v>
      </c>
      <c r="C13" s="1" t="s">
        <v>14</v>
      </c>
      <c r="D13" s="3">
        <v>805.09</v>
      </c>
      <c r="E13" s="3">
        <f t="shared" si="2"/>
        <v>1610.18</v>
      </c>
      <c r="F13" s="6">
        <v>1200</v>
      </c>
      <c r="G13" s="6">
        <f t="shared" si="3"/>
        <v>789.81999999999994</v>
      </c>
      <c r="H13" s="1"/>
      <c r="I13" s="4">
        <f t="shared" si="0"/>
        <v>0</v>
      </c>
      <c r="J13" s="1">
        <f t="shared" si="1"/>
        <v>2</v>
      </c>
    </row>
    <row r="14" spans="1:10" x14ac:dyDescent="0.25">
      <c r="A14" s="1"/>
      <c r="B14" s="1">
        <v>1</v>
      </c>
      <c r="C14" s="1" t="s">
        <v>15</v>
      </c>
      <c r="D14" s="3">
        <v>764.35</v>
      </c>
      <c r="E14" s="3">
        <f t="shared" si="2"/>
        <v>764.35</v>
      </c>
      <c r="F14" s="3">
        <v>1200</v>
      </c>
      <c r="G14" s="3">
        <f t="shared" si="3"/>
        <v>435.65</v>
      </c>
      <c r="H14" s="1">
        <v>1</v>
      </c>
      <c r="I14" s="4">
        <f t="shared" si="0"/>
        <v>435.65</v>
      </c>
      <c r="J14" s="1">
        <f t="shared" si="1"/>
        <v>0</v>
      </c>
    </row>
    <row r="15" spans="1:10" x14ac:dyDescent="0.25">
      <c r="A15" s="1"/>
      <c r="B15" s="1">
        <v>1</v>
      </c>
      <c r="C15" s="1" t="s">
        <v>16</v>
      </c>
      <c r="D15" s="3">
        <v>764.35</v>
      </c>
      <c r="E15" s="3">
        <f t="shared" si="2"/>
        <v>764.35</v>
      </c>
      <c r="F15" s="3">
        <v>1200</v>
      </c>
      <c r="G15" s="3">
        <f t="shared" si="3"/>
        <v>435.65</v>
      </c>
      <c r="H15" s="1"/>
      <c r="I15" s="4">
        <f t="shared" si="0"/>
        <v>0</v>
      </c>
      <c r="J15" s="1">
        <f t="shared" si="1"/>
        <v>1</v>
      </c>
    </row>
    <row r="16" spans="1:10" x14ac:dyDescent="0.25">
      <c r="A16" s="1"/>
      <c r="B16" s="1">
        <v>3</v>
      </c>
      <c r="C16" s="1" t="s">
        <v>19</v>
      </c>
      <c r="D16" s="3">
        <v>194.61</v>
      </c>
      <c r="E16" s="3">
        <f t="shared" si="2"/>
        <v>583.83000000000004</v>
      </c>
      <c r="F16" s="3">
        <v>289</v>
      </c>
      <c r="G16" s="3">
        <f t="shared" si="3"/>
        <v>283.16999999999996</v>
      </c>
      <c r="H16" s="1">
        <v>1</v>
      </c>
      <c r="I16" s="4">
        <f t="shared" si="0"/>
        <v>94.389999999999986</v>
      </c>
      <c r="J16" s="1">
        <f t="shared" si="1"/>
        <v>2</v>
      </c>
    </row>
    <row r="17" spans="1:10" x14ac:dyDescent="0.25">
      <c r="A17" s="1"/>
      <c r="B17" s="1">
        <v>3</v>
      </c>
      <c r="C17" s="1" t="s">
        <v>18</v>
      </c>
      <c r="D17" s="3">
        <v>260.37</v>
      </c>
      <c r="E17" s="3">
        <f t="shared" si="2"/>
        <v>781.11</v>
      </c>
      <c r="F17" s="3">
        <v>389</v>
      </c>
      <c r="G17" s="3">
        <f t="shared" si="3"/>
        <v>385.89</v>
      </c>
      <c r="H17" s="1">
        <v>1</v>
      </c>
      <c r="I17" s="4">
        <f t="shared" si="0"/>
        <v>128.63</v>
      </c>
      <c r="J17" s="1">
        <f t="shared" si="1"/>
        <v>2</v>
      </c>
    </row>
    <row r="18" spans="1:10" x14ac:dyDescent="0.25">
      <c r="A18" s="1"/>
      <c r="B18" s="1"/>
      <c r="C18" s="1"/>
      <c r="D18" s="3"/>
      <c r="E18" s="3">
        <f t="shared" si="2"/>
        <v>0</v>
      </c>
      <c r="F18" s="3"/>
      <c r="G18" s="3">
        <f t="shared" si="3"/>
        <v>0</v>
      </c>
      <c r="H18" s="1"/>
      <c r="I18" s="4">
        <f t="shared" si="0"/>
        <v>0</v>
      </c>
      <c r="J18" s="1">
        <f t="shared" si="1"/>
        <v>0</v>
      </c>
    </row>
    <row r="19" spans="1:10" x14ac:dyDescent="0.25">
      <c r="A19" s="1"/>
      <c r="B19" s="5">
        <v>5</v>
      </c>
      <c r="C19" s="5" t="s">
        <v>17</v>
      </c>
      <c r="D19" s="6">
        <v>260.37</v>
      </c>
      <c r="E19" s="3">
        <f t="shared" si="2"/>
        <v>1301.8499999999999</v>
      </c>
      <c r="F19" s="3">
        <v>389</v>
      </c>
      <c r="G19" s="3">
        <f t="shared" si="3"/>
        <v>643.15</v>
      </c>
      <c r="H19" s="1">
        <v>3</v>
      </c>
      <c r="I19" s="4">
        <f t="shared" si="0"/>
        <v>385.89</v>
      </c>
      <c r="J19" s="1">
        <f t="shared" si="1"/>
        <v>2</v>
      </c>
    </row>
    <row r="20" spans="1:10" x14ac:dyDescent="0.25">
      <c r="A20" s="1"/>
      <c r="B20" s="1">
        <v>2</v>
      </c>
      <c r="C20" s="1" t="s">
        <v>38</v>
      </c>
      <c r="D20" s="3">
        <v>191.63</v>
      </c>
      <c r="E20" s="3">
        <f t="shared" ref="E20" si="4">D20*B20</f>
        <v>383.26</v>
      </c>
      <c r="F20" s="6">
        <v>269</v>
      </c>
      <c r="G20" s="6">
        <f t="shared" ref="G20" si="5">(F20-D20)*B20</f>
        <v>154.74</v>
      </c>
      <c r="H20" s="1"/>
      <c r="I20" s="4">
        <f t="shared" si="0"/>
        <v>0</v>
      </c>
      <c r="J20" s="1">
        <f t="shared" si="1"/>
        <v>2</v>
      </c>
    </row>
    <row r="21" spans="1:10" x14ac:dyDescent="0.25">
      <c r="A21" s="1"/>
      <c r="B21" s="1">
        <v>3</v>
      </c>
      <c r="C21" s="1" t="s">
        <v>20</v>
      </c>
      <c r="D21" s="3">
        <v>191.63</v>
      </c>
      <c r="E21" s="3">
        <f t="shared" si="2"/>
        <v>574.89</v>
      </c>
      <c r="F21" s="6">
        <v>269</v>
      </c>
      <c r="G21" s="6">
        <f t="shared" si="3"/>
        <v>232.11</v>
      </c>
      <c r="H21" s="1"/>
      <c r="I21" s="4">
        <f t="shared" si="0"/>
        <v>0</v>
      </c>
      <c r="J21" s="1">
        <f t="shared" si="1"/>
        <v>3</v>
      </c>
    </row>
    <row r="22" spans="1:10" x14ac:dyDescent="0.25">
      <c r="B22" s="1">
        <v>3</v>
      </c>
      <c r="C22" s="1" t="s">
        <v>21</v>
      </c>
      <c r="D22" s="3">
        <v>191.63</v>
      </c>
      <c r="E22" s="3">
        <f t="shared" ref="E22:E30" si="6">D22*B22</f>
        <v>574.89</v>
      </c>
      <c r="F22" s="6">
        <v>269</v>
      </c>
      <c r="G22" s="6">
        <f t="shared" ref="G22:G30" si="7">(F22-D22)*B22</f>
        <v>232.11</v>
      </c>
      <c r="H22" s="1">
        <v>1</v>
      </c>
      <c r="I22" s="4">
        <f t="shared" si="0"/>
        <v>77.37</v>
      </c>
      <c r="J22" s="1">
        <f t="shared" si="1"/>
        <v>2</v>
      </c>
    </row>
    <row r="23" spans="1:10" x14ac:dyDescent="0.25">
      <c r="A23" s="1"/>
      <c r="B23" s="1">
        <v>2</v>
      </c>
      <c r="C23" s="1" t="s">
        <v>22</v>
      </c>
      <c r="D23" s="3">
        <v>837.74</v>
      </c>
      <c r="E23" s="3">
        <f t="shared" si="6"/>
        <v>1675.48</v>
      </c>
      <c r="F23" s="3">
        <v>1600</v>
      </c>
      <c r="G23" s="3">
        <f t="shared" si="7"/>
        <v>1524.52</v>
      </c>
      <c r="H23" s="1">
        <v>1</v>
      </c>
      <c r="I23" s="4">
        <f t="shared" si="0"/>
        <v>762.26</v>
      </c>
      <c r="J23" s="1">
        <f t="shared" si="1"/>
        <v>1</v>
      </c>
    </row>
    <row r="24" spans="1:10" x14ac:dyDescent="0.25">
      <c r="A24" s="1"/>
      <c r="B24" s="1">
        <v>2</v>
      </c>
      <c r="C24" s="1" t="s">
        <v>23</v>
      </c>
      <c r="D24" s="3">
        <v>847.18</v>
      </c>
      <c r="E24" s="3">
        <f t="shared" si="6"/>
        <v>1694.36</v>
      </c>
      <c r="F24" s="3">
        <v>1600</v>
      </c>
      <c r="G24" s="3">
        <f t="shared" si="7"/>
        <v>1505.64</v>
      </c>
      <c r="H24" s="1"/>
      <c r="I24" s="4">
        <f t="shared" si="0"/>
        <v>0</v>
      </c>
      <c r="J24" s="1">
        <f t="shared" si="1"/>
        <v>2</v>
      </c>
    </row>
    <row r="25" spans="1:10" x14ac:dyDescent="0.25">
      <c r="A25" s="1"/>
      <c r="B25" s="1">
        <v>2</v>
      </c>
      <c r="C25" s="1" t="s">
        <v>24</v>
      </c>
      <c r="D25" s="3">
        <v>346.62</v>
      </c>
      <c r="E25" s="3">
        <f t="shared" si="6"/>
        <v>693.24</v>
      </c>
      <c r="F25" s="3">
        <v>499</v>
      </c>
      <c r="G25" s="3">
        <f t="shared" si="7"/>
        <v>304.76</v>
      </c>
      <c r="H25" s="1">
        <v>1</v>
      </c>
      <c r="I25" s="4">
        <f t="shared" si="0"/>
        <v>152.38</v>
      </c>
      <c r="J25" s="1">
        <f t="shared" si="1"/>
        <v>1</v>
      </c>
    </row>
    <row r="26" spans="1:10" x14ac:dyDescent="0.25">
      <c r="A26" s="1"/>
      <c r="B26" s="1">
        <v>2</v>
      </c>
      <c r="C26" s="1" t="s">
        <v>25</v>
      </c>
      <c r="D26" s="3">
        <v>269.64</v>
      </c>
      <c r="E26" s="3">
        <f t="shared" si="6"/>
        <v>539.28</v>
      </c>
      <c r="F26" s="3">
        <v>399</v>
      </c>
      <c r="G26" s="3">
        <f t="shared" si="7"/>
        <v>258.72000000000003</v>
      </c>
      <c r="H26" s="1">
        <v>1</v>
      </c>
      <c r="I26" s="4">
        <f t="shared" si="0"/>
        <v>129.36000000000001</v>
      </c>
      <c r="J26" s="1">
        <f t="shared" si="1"/>
        <v>1</v>
      </c>
    </row>
    <row r="27" spans="1:10" x14ac:dyDescent="0.25">
      <c r="A27" s="1"/>
      <c r="B27" s="1">
        <v>4</v>
      </c>
      <c r="C27" s="1" t="s">
        <v>26</v>
      </c>
      <c r="D27" s="3">
        <v>254.66</v>
      </c>
      <c r="E27" s="3">
        <f t="shared" si="6"/>
        <v>1018.64</v>
      </c>
      <c r="F27" s="3">
        <v>385</v>
      </c>
      <c r="G27" s="3">
        <f t="shared" si="7"/>
        <v>521.36</v>
      </c>
      <c r="H27" s="1">
        <v>2</v>
      </c>
      <c r="I27" s="4">
        <f t="shared" si="0"/>
        <v>260.68</v>
      </c>
      <c r="J27" s="1">
        <f t="shared" si="1"/>
        <v>2</v>
      </c>
    </row>
    <row r="28" spans="1:10" x14ac:dyDescent="0.25">
      <c r="A28" s="1"/>
      <c r="B28" s="5">
        <v>2</v>
      </c>
      <c r="C28" s="5" t="s">
        <v>27</v>
      </c>
      <c r="D28" s="6">
        <v>254.66</v>
      </c>
      <c r="E28" s="3">
        <f t="shared" si="6"/>
        <v>509.32</v>
      </c>
      <c r="F28" s="3">
        <v>385</v>
      </c>
      <c r="G28" s="3">
        <f t="shared" si="7"/>
        <v>260.68</v>
      </c>
      <c r="H28" s="1">
        <v>1</v>
      </c>
      <c r="I28" s="4">
        <f t="shared" si="0"/>
        <v>130.34</v>
      </c>
      <c r="J28" s="1">
        <f t="shared" si="1"/>
        <v>1</v>
      </c>
    </row>
    <row r="29" spans="1:10" x14ac:dyDescent="0.25">
      <c r="A29" s="1"/>
      <c r="B29" s="1">
        <v>2</v>
      </c>
      <c r="C29" s="1" t="s">
        <v>28</v>
      </c>
      <c r="D29" s="3">
        <v>254.66</v>
      </c>
      <c r="E29" s="3">
        <f t="shared" si="6"/>
        <v>509.32</v>
      </c>
      <c r="F29" s="6">
        <v>385</v>
      </c>
      <c r="G29" s="6">
        <f t="shared" si="7"/>
        <v>260.68</v>
      </c>
      <c r="H29" s="1">
        <v>1</v>
      </c>
      <c r="I29" s="4">
        <f t="shared" si="0"/>
        <v>130.34</v>
      </c>
      <c r="J29" s="1">
        <f t="shared" si="1"/>
        <v>1</v>
      </c>
    </row>
    <row r="30" spans="1:10" x14ac:dyDescent="0.25">
      <c r="B30" s="5">
        <v>5</v>
      </c>
      <c r="C30" s="5" t="s">
        <v>29</v>
      </c>
      <c r="D30" s="6">
        <v>215.02</v>
      </c>
      <c r="E30" s="6">
        <f t="shared" si="6"/>
        <v>1075.1000000000001</v>
      </c>
      <c r="F30" s="6">
        <v>329</v>
      </c>
      <c r="G30" s="6">
        <f t="shared" si="7"/>
        <v>569.9</v>
      </c>
      <c r="H30" s="1">
        <v>3</v>
      </c>
      <c r="I30" s="4">
        <f t="shared" si="0"/>
        <v>341.93999999999994</v>
      </c>
      <c r="J30" s="1">
        <f t="shared" si="1"/>
        <v>2</v>
      </c>
    </row>
    <row r="31" spans="1:10" x14ac:dyDescent="0.25">
      <c r="A31" s="1"/>
      <c r="B31" s="1">
        <v>2</v>
      </c>
      <c r="C31" s="1" t="s">
        <v>42</v>
      </c>
      <c r="D31" s="3">
        <v>550</v>
      </c>
      <c r="E31" s="3">
        <f t="shared" ref="E31:E36" si="8">D31*B31</f>
        <v>1100</v>
      </c>
      <c r="F31" s="1">
        <v>799</v>
      </c>
      <c r="G31" s="3">
        <f t="shared" ref="G31:G36" si="9">(F31-D31)*B31</f>
        <v>498</v>
      </c>
      <c r="H31" s="1"/>
      <c r="I31" s="4">
        <f t="shared" si="0"/>
        <v>0</v>
      </c>
      <c r="J31" s="1">
        <f t="shared" si="1"/>
        <v>2</v>
      </c>
    </row>
    <row r="32" spans="1:10" x14ac:dyDescent="0.25">
      <c r="A32" s="1"/>
      <c r="B32" s="1">
        <v>2</v>
      </c>
      <c r="C32" s="1" t="s">
        <v>30</v>
      </c>
      <c r="D32" s="3">
        <v>267.95</v>
      </c>
      <c r="E32" s="3">
        <f t="shared" si="8"/>
        <v>535.9</v>
      </c>
      <c r="F32" s="1">
        <v>399</v>
      </c>
      <c r="G32" s="3">
        <f t="shared" si="9"/>
        <v>262.10000000000002</v>
      </c>
      <c r="H32" s="1"/>
      <c r="I32" s="4">
        <f t="shared" si="0"/>
        <v>0</v>
      </c>
      <c r="J32" s="1">
        <f t="shared" si="1"/>
        <v>2</v>
      </c>
    </row>
    <row r="33" spans="1:10" x14ac:dyDescent="0.25">
      <c r="A33" s="1"/>
      <c r="B33" s="1">
        <v>4</v>
      </c>
      <c r="C33" s="1" t="s">
        <v>39</v>
      </c>
      <c r="D33" s="3">
        <v>274.20999999999998</v>
      </c>
      <c r="E33" s="3">
        <f t="shared" si="8"/>
        <v>1096.8399999999999</v>
      </c>
      <c r="F33" s="3">
        <v>369</v>
      </c>
      <c r="G33" s="3">
        <f t="shared" si="9"/>
        <v>379.16000000000008</v>
      </c>
      <c r="H33" s="1">
        <v>2</v>
      </c>
      <c r="I33" s="4">
        <f t="shared" si="0"/>
        <v>189.58000000000004</v>
      </c>
      <c r="J33" s="1">
        <f t="shared" si="1"/>
        <v>2</v>
      </c>
    </row>
    <row r="34" spans="1:10" x14ac:dyDescent="0.25">
      <c r="A34" s="1"/>
      <c r="B34" s="1">
        <v>3</v>
      </c>
      <c r="C34" s="1" t="s">
        <v>40</v>
      </c>
      <c r="D34" s="3">
        <v>126.84</v>
      </c>
      <c r="E34" s="3">
        <f t="shared" si="8"/>
        <v>380.52</v>
      </c>
      <c r="F34" s="3">
        <v>199</v>
      </c>
      <c r="G34" s="3">
        <f t="shared" si="9"/>
        <v>216.48</v>
      </c>
      <c r="H34" s="1"/>
      <c r="I34" s="4">
        <f t="shared" si="0"/>
        <v>0</v>
      </c>
      <c r="J34" s="1">
        <f t="shared" si="1"/>
        <v>3</v>
      </c>
    </row>
    <row r="35" spans="1:10" x14ac:dyDescent="0.25">
      <c r="A35" s="1"/>
      <c r="B35" s="1">
        <v>5</v>
      </c>
      <c r="C35" s="1" t="s">
        <v>4</v>
      </c>
      <c r="D35" s="3">
        <v>200.74</v>
      </c>
      <c r="E35" s="3">
        <f t="shared" si="8"/>
        <v>1003.7</v>
      </c>
      <c r="F35" s="3">
        <v>289</v>
      </c>
      <c r="G35" s="3">
        <f t="shared" si="9"/>
        <v>441.29999999999995</v>
      </c>
      <c r="H35" s="1">
        <v>2</v>
      </c>
      <c r="I35" s="4">
        <f t="shared" si="0"/>
        <v>176.51999999999998</v>
      </c>
      <c r="J35" s="1">
        <f t="shared" si="1"/>
        <v>3</v>
      </c>
    </row>
    <row r="36" spans="1:10" x14ac:dyDescent="0.25">
      <c r="A36" s="1"/>
      <c r="B36" s="5">
        <v>2</v>
      </c>
      <c r="C36" s="5" t="s">
        <v>41</v>
      </c>
      <c r="D36" s="6">
        <v>119</v>
      </c>
      <c r="E36" s="3">
        <f t="shared" si="8"/>
        <v>238</v>
      </c>
      <c r="F36" s="3">
        <v>199</v>
      </c>
      <c r="G36" s="3">
        <f t="shared" si="9"/>
        <v>160</v>
      </c>
      <c r="H36" s="1"/>
      <c r="I36" s="4">
        <f t="shared" si="0"/>
        <v>0</v>
      </c>
      <c r="J36" s="1">
        <f t="shared" si="1"/>
        <v>2</v>
      </c>
    </row>
    <row r="37" spans="1:10" x14ac:dyDescent="0.25">
      <c r="A37" s="1"/>
      <c r="B37" s="1">
        <v>1</v>
      </c>
      <c r="C37" s="1" t="s">
        <v>43</v>
      </c>
      <c r="D37" s="3">
        <v>197.82</v>
      </c>
      <c r="E37" s="3">
        <f t="shared" ref="E37:E42" si="10">D37*B37</f>
        <v>197.82</v>
      </c>
      <c r="F37" s="3">
        <v>250</v>
      </c>
      <c r="G37" s="3">
        <f t="shared" ref="G37:G42" si="11">(F37-D37)*B37</f>
        <v>52.180000000000007</v>
      </c>
      <c r="H37" s="1">
        <v>1</v>
      </c>
      <c r="I37" s="4">
        <f t="shared" si="0"/>
        <v>52.180000000000007</v>
      </c>
      <c r="J37" s="1">
        <f t="shared" si="1"/>
        <v>0</v>
      </c>
    </row>
    <row r="38" spans="1:10" x14ac:dyDescent="0.25">
      <c r="A38" s="1"/>
      <c r="B38" s="1">
        <v>1</v>
      </c>
      <c r="C38" s="1" t="s">
        <v>44</v>
      </c>
      <c r="D38" s="3">
        <v>59</v>
      </c>
      <c r="E38" s="3">
        <f t="shared" si="10"/>
        <v>59</v>
      </c>
      <c r="F38" s="3">
        <v>99</v>
      </c>
      <c r="G38" s="3">
        <f t="shared" si="11"/>
        <v>40</v>
      </c>
      <c r="H38" s="1"/>
      <c r="I38" s="4">
        <f t="shared" si="0"/>
        <v>0</v>
      </c>
      <c r="J38" s="1">
        <f t="shared" si="1"/>
        <v>1</v>
      </c>
    </row>
    <row r="39" spans="1:10" x14ac:dyDescent="0.25">
      <c r="A39" s="1"/>
      <c r="B39" s="1">
        <v>26</v>
      </c>
      <c r="C39" s="1" t="s">
        <v>45</v>
      </c>
      <c r="D39" s="3">
        <v>57</v>
      </c>
      <c r="E39" s="3">
        <f t="shared" si="10"/>
        <v>1482</v>
      </c>
      <c r="F39" s="3">
        <v>99</v>
      </c>
      <c r="G39" s="3">
        <f t="shared" si="11"/>
        <v>1092</v>
      </c>
      <c r="H39" s="1"/>
      <c r="I39" s="4">
        <f t="shared" si="0"/>
        <v>0</v>
      </c>
      <c r="J39" s="1">
        <f t="shared" si="1"/>
        <v>26</v>
      </c>
    </row>
    <row r="40" spans="1:10" x14ac:dyDescent="0.25">
      <c r="A40" s="1"/>
      <c r="B40" s="1">
        <v>3</v>
      </c>
      <c r="C40" s="1" t="s">
        <v>52</v>
      </c>
      <c r="D40" s="3">
        <v>253.67</v>
      </c>
      <c r="E40" s="3">
        <f t="shared" si="10"/>
        <v>761.01</v>
      </c>
      <c r="F40" s="3">
        <v>379</v>
      </c>
      <c r="G40" s="3">
        <f t="shared" si="11"/>
        <v>375.99</v>
      </c>
      <c r="H40" s="1"/>
      <c r="I40" s="4">
        <f t="shared" si="0"/>
        <v>0</v>
      </c>
      <c r="J40" s="1">
        <f t="shared" si="1"/>
        <v>3</v>
      </c>
    </row>
    <row r="41" spans="1:10" x14ac:dyDescent="0.25">
      <c r="A41" s="1"/>
      <c r="B41" s="1">
        <v>3</v>
      </c>
      <c r="C41" s="1" t="s">
        <v>53</v>
      </c>
      <c r="D41" s="3">
        <v>253.67</v>
      </c>
      <c r="E41" s="3">
        <f t="shared" si="10"/>
        <v>761.01</v>
      </c>
      <c r="F41" s="3">
        <v>379</v>
      </c>
      <c r="G41" s="3">
        <f t="shared" si="11"/>
        <v>375.99</v>
      </c>
      <c r="H41" s="1"/>
      <c r="I41" s="4">
        <f t="shared" si="0"/>
        <v>0</v>
      </c>
      <c r="J41" s="1">
        <f t="shared" si="1"/>
        <v>3</v>
      </c>
    </row>
    <row r="42" spans="1:10" x14ac:dyDescent="0.25">
      <c r="B42" s="1">
        <v>3</v>
      </c>
      <c r="C42" s="1" t="s">
        <v>54</v>
      </c>
      <c r="D42" s="3">
        <v>253.67</v>
      </c>
      <c r="E42" s="3">
        <f t="shared" si="10"/>
        <v>761.01</v>
      </c>
      <c r="F42" s="3">
        <v>379</v>
      </c>
      <c r="G42" s="3">
        <f t="shared" si="11"/>
        <v>375.99</v>
      </c>
      <c r="H42" s="1"/>
      <c r="I42" s="4">
        <f t="shared" si="0"/>
        <v>0</v>
      </c>
      <c r="J42" s="1">
        <f t="shared" si="1"/>
        <v>3</v>
      </c>
    </row>
    <row r="43" spans="1:10" x14ac:dyDescent="0.25">
      <c r="A43" s="1"/>
      <c r="B43" s="1">
        <v>2</v>
      </c>
      <c r="C43" s="1" t="s">
        <v>55</v>
      </c>
      <c r="D43" s="3">
        <v>239.87</v>
      </c>
      <c r="E43" s="3">
        <f t="shared" ref="E43:E45" si="12">D43*B43</f>
        <v>479.74</v>
      </c>
      <c r="F43" s="3">
        <v>350</v>
      </c>
      <c r="G43" s="3">
        <f t="shared" ref="G43:G45" si="13">(F43-D43)*B43</f>
        <v>220.26</v>
      </c>
      <c r="H43" s="1"/>
      <c r="I43" s="4">
        <f t="shared" ref="I43:I45" si="14">(F43-D43)*H43</f>
        <v>0</v>
      </c>
      <c r="J43" s="1">
        <f t="shared" ref="J43:J45" si="15">B43-H43</f>
        <v>2</v>
      </c>
    </row>
    <row r="44" spans="1:10" x14ac:dyDescent="0.25">
      <c r="A44" s="1"/>
      <c r="B44" s="1">
        <v>2</v>
      </c>
      <c r="C44" s="1" t="s">
        <v>56</v>
      </c>
      <c r="D44" s="3">
        <v>239.87</v>
      </c>
      <c r="E44" s="3">
        <f t="shared" si="12"/>
        <v>479.74</v>
      </c>
      <c r="F44" s="3">
        <v>350</v>
      </c>
      <c r="G44" s="3">
        <f t="shared" si="13"/>
        <v>220.26</v>
      </c>
      <c r="H44" s="1"/>
      <c r="I44" s="4">
        <f t="shared" si="14"/>
        <v>0</v>
      </c>
      <c r="J44" s="1">
        <f t="shared" si="15"/>
        <v>2</v>
      </c>
    </row>
    <row r="45" spans="1:10" x14ac:dyDescent="0.25">
      <c r="B45" s="1">
        <v>1</v>
      </c>
      <c r="C45" s="1" t="s">
        <v>57</v>
      </c>
      <c r="D45" s="3">
        <v>239.87</v>
      </c>
      <c r="E45" s="3">
        <f t="shared" si="12"/>
        <v>239.87</v>
      </c>
      <c r="F45" s="3">
        <v>350</v>
      </c>
      <c r="G45" s="3">
        <f t="shared" si="13"/>
        <v>110.13</v>
      </c>
      <c r="H45" s="1"/>
      <c r="I45" s="4">
        <f t="shared" si="14"/>
        <v>0</v>
      </c>
      <c r="J45" s="1">
        <f t="shared" si="15"/>
        <v>1</v>
      </c>
    </row>
    <row r="46" spans="1:10" x14ac:dyDescent="0.25">
      <c r="A46" s="1"/>
      <c r="B46" s="1">
        <v>5</v>
      </c>
      <c r="C46" s="1" t="s">
        <v>58</v>
      </c>
      <c r="D46" s="3">
        <v>192.72</v>
      </c>
      <c r="E46" s="3">
        <f t="shared" ref="E46:E48" si="16">D46*B46</f>
        <v>963.6</v>
      </c>
      <c r="F46" s="3">
        <v>279</v>
      </c>
      <c r="G46" s="3">
        <f t="shared" ref="G46:G48" si="17">(F46-D46)*B46</f>
        <v>431.4</v>
      </c>
      <c r="H46" s="1"/>
      <c r="I46" s="4">
        <f t="shared" ref="I46:I48" si="18">(F46-D46)*H46</f>
        <v>0</v>
      </c>
      <c r="J46" s="1">
        <f t="shared" ref="J46:J48" si="19">B46-H46</f>
        <v>5</v>
      </c>
    </row>
    <row r="47" spans="1:10" x14ac:dyDescent="0.25">
      <c r="A47" s="1"/>
      <c r="B47" s="1">
        <v>1</v>
      </c>
      <c r="C47" s="1" t="s">
        <v>59</v>
      </c>
      <c r="D47" s="3">
        <v>269</v>
      </c>
      <c r="E47" s="3">
        <f>D47*B47</f>
        <v>269</v>
      </c>
      <c r="F47" s="3">
        <v>499</v>
      </c>
      <c r="G47" s="3">
        <f t="shared" si="17"/>
        <v>230</v>
      </c>
      <c r="H47" s="1"/>
      <c r="I47" s="4">
        <f t="shared" si="18"/>
        <v>0</v>
      </c>
      <c r="J47" s="1">
        <f t="shared" si="19"/>
        <v>1</v>
      </c>
    </row>
    <row r="48" spans="1:10" x14ac:dyDescent="0.25">
      <c r="B48" s="1">
        <v>1</v>
      </c>
      <c r="C48" s="1" t="s">
        <v>60</v>
      </c>
      <c r="D48" s="3">
        <v>269</v>
      </c>
      <c r="E48" s="3">
        <f t="shared" si="16"/>
        <v>269</v>
      </c>
      <c r="F48" s="3">
        <v>499</v>
      </c>
      <c r="G48" s="3">
        <f t="shared" si="17"/>
        <v>230</v>
      </c>
      <c r="H48" s="1"/>
      <c r="I48" s="4">
        <f t="shared" si="18"/>
        <v>0</v>
      </c>
      <c r="J48" s="1">
        <f t="shared" si="19"/>
        <v>1</v>
      </c>
    </row>
    <row r="49" spans="1:10" x14ac:dyDescent="0.25">
      <c r="A49" s="1"/>
      <c r="B49" s="1"/>
      <c r="C49" s="1"/>
      <c r="D49" s="3"/>
      <c r="E49" s="3">
        <f t="shared" ref="E49:E51" si="20">D49*B49</f>
        <v>0</v>
      </c>
      <c r="F49" s="3"/>
      <c r="G49" s="3">
        <f t="shared" ref="G49:G51" si="21">(F49-D49)*B49</f>
        <v>0</v>
      </c>
      <c r="H49" s="1"/>
      <c r="I49" s="4">
        <f t="shared" ref="I49:I51" si="22">(F49-D49)*H49</f>
        <v>0</v>
      </c>
      <c r="J49" s="1">
        <f t="shared" ref="J49:J51" si="23">B49-H49</f>
        <v>0</v>
      </c>
    </row>
    <row r="50" spans="1:10" x14ac:dyDescent="0.25">
      <c r="A50" s="1"/>
      <c r="B50" s="1"/>
      <c r="C50" s="1"/>
      <c r="D50" s="3"/>
      <c r="E50" s="3">
        <f t="shared" si="20"/>
        <v>0</v>
      </c>
      <c r="F50" s="3"/>
      <c r="G50" s="3">
        <f t="shared" si="21"/>
        <v>0</v>
      </c>
      <c r="H50" s="1"/>
      <c r="I50" s="4">
        <f t="shared" si="22"/>
        <v>0</v>
      </c>
      <c r="J50" s="1">
        <f t="shared" si="23"/>
        <v>0</v>
      </c>
    </row>
    <row r="51" spans="1:10" x14ac:dyDescent="0.25">
      <c r="B51" s="1"/>
      <c r="C51" s="1"/>
      <c r="D51" s="3"/>
      <c r="E51" s="3">
        <f t="shared" si="20"/>
        <v>0</v>
      </c>
      <c r="F51" s="3"/>
      <c r="G51" s="3">
        <f t="shared" si="21"/>
        <v>0</v>
      </c>
      <c r="H51" s="1"/>
      <c r="I51" s="4">
        <f t="shared" si="22"/>
        <v>0</v>
      </c>
      <c r="J51" s="1">
        <f t="shared" si="23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6926-6318-4E10-A8B3-87598C12EC3D}">
  <dimension ref="A1:J11"/>
  <sheetViews>
    <sheetView workbookViewId="0">
      <selection sqref="A1:J11"/>
    </sheetView>
  </sheetViews>
  <sheetFormatPr defaultRowHeight="15" x14ac:dyDescent="0.25"/>
  <cols>
    <col min="3" max="3" width="30.85546875" customWidth="1"/>
    <col min="4" max="4" width="19.85546875" customWidth="1"/>
    <col min="5" max="5" width="13.42578125" customWidth="1"/>
    <col min="6" max="6" width="12.140625" customWidth="1"/>
    <col min="7" max="7" width="11.28515625" customWidth="1"/>
  </cols>
  <sheetData>
    <row r="1" spans="1:10" x14ac:dyDescent="0.25">
      <c r="A1" s="7" t="s">
        <v>31</v>
      </c>
      <c r="B1" s="8"/>
      <c r="C1" s="8"/>
      <c r="D1" s="8"/>
      <c r="E1" s="8"/>
      <c r="F1" s="8"/>
      <c r="G1" s="9"/>
    </row>
    <row r="2" spans="1:10" x14ac:dyDescent="0.25">
      <c r="A2" s="1"/>
      <c r="B2" s="2">
        <v>46021</v>
      </c>
      <c r="C2" s="1"/>
      <c r="D2" s="1"/>
      <c r="E2" s="1"/>
      <c r="F2" s="1"/>
      <c r="G2" s="1"/>
      <c r="H2" s="1"/>
      <c r="I2" s="1" t="s">
        <v>36</v>
      </c>
      <c r="J2" s="1"/>
    </row>
    <row r="3" spans="1:10" x14ac:dyDescent="0.25">
      <c r="A3" s="1"/>
      <c r="B3" s="1" t="s">
        <v>1</v>
      </c>
      <c r="C3" s="1" t="s">
        <v>0</v>
      </c>
      <c r="D3" s="1" t="s">
        <v>2</v>
      </c>
      <c r="E3" s="1" t="s">
        <v>3</v>
      </c>
      <c r="F3" s="1" t="s">
        <v>5</v>
      </c>
      <c r="G3" s="1" t="s">
        <v>33</v>
      </c>
      <c r="H3" s="1" t="s">
        <v>34</v>
      </c>
      <c r="I3" s="1" t="s">
        <v>32</v>
      </c>
      <c r="J3" s="1" t="s">
        <v>35</v>
      </c>
    </row>
    <row r="4" spans="1:10" x14ac:dyDescent="0.25">
      <c r="A4" s="1"/>
      <c r="B4" s="1">
        <v>8</v>
      </c>
      <c r="C4" s="1" t="s">
        <v>46</v>
      </c>
      <c r="D4" s="3">
        <v>110</v>
      </c>
      <c r="E4" s="3">
        <f>D4*B4</f>
        <v>880</v>
      </c>
      <c r="F4" s="3">
        <v>169</v>
      </c>
      <c r="G4" s="3">
        <f>(F4-D4)*B4</f>
        <v>472</v>
      </c>
      <c r="H4" s="1"/>
      <c r="I4" s="4">
        <f>(F4-D4)*H4</f>
        <v>0</v>
      </c>
      <c r="J4" s="1">
        <f>B4-H4</f>
        <v>8</v>
      </c>
    </row>
    <row r="5" spans="1:10" x14ac:dyDescent="0.25">
      <c r="A5" s="1"/>
      <c r="B5" s="1"/>
      <c r="C5" s="1"/>
      <c r="D5" s="3"/>
      <c r="E5" s="3"/>
      <c r="F5" s="3"/>
      <c r="G5" s="3"/>
      <c r="H5" s="1"/>
      <c r="I5" s="4"/>
      <c r="J5" s="1"/>
    </row>
    <row r="6" spans="1:10" x14ac:dyDescent="0.25">
      <c r="A6" s="1"/>
      <c r="B6" s="1"/>
      <c r="C6" s="1"/>
      <c r="D6" s="3"/>
      <c r="E6" s="3"/>
      <c r="F6" s="3"/>
      <c r="G6" s="3"/>
      <c r="H6" s="1"/>
      <c r="I6" s="4"/>
      <c r="J6" s="1"/>
    </row>
    <row r="7" spans="1:10" x14ac:dyDescent="0.25">
      <c r="A7" s="1"/>
      <c r="B7" s="1"/>
      <c r="C7" s="1"/>
      <c r="D7" s="3"/>
      <c r="E7" s="3"/>
      <c r="F7" s="3"/>
      <c r="G7" s="3"/>
      <c r="H7" s="1"/>
      <c r="I7" s="4"/>
      <c r="J7" s="1"/>
    </row>
    <row r="8" spans="1:10" x14ac:dyDescent="0.25">
      <c r="A8" s="1"/>
      <c r="B8" s="1"/>
      <c r="C8" s="1"/>
      <c r="D8" s="3"/>
      <c r="E8" s="3"/>
      <c r="F8" s="3"/>
      <c r="G8" s="3"/>
      <c r="H8" s="1"/>
      <c r="I8" s="4"/>
      <c r="J8" s="1"/>
    </row>
    <row r="9" spans="1:10" x14ac:dyDescent="0.25">
      <c r="A9" s="1"/>
      <c r="B9" s="1"/>
      <c r="C9" s="1"/>
      <c r="D9" s="3"/>
      <c r="E9" s="3"/>
      <c r="F9" s="3"/>
      <c r="G9" s="3"/>
      <c r="H9" s="1"/>
      <c r="I9" s="4"/>
      <c r="J9" s="1"/>
    </row>
    <row r="10" spans="1:10" x14ac:dyDescent="0.25">
      <c r="A10" s="1"/>
      <c r="B10" s="1"/>
      <c r="C10" s="1"/>
      <c r="D10" s="3"/>
      <c r="E10" s="3"/>
      <c r="F10" s="3"/>
      <c r="G10" s="3"/>
      <c r="H10" s="1"/>
      <c r="I10" s="4"/>
      <c r="J10" s="1"/>
    </row>
    <row r="11" spans="1:10" x14ac:dyDescent="0.25">
      <c r="A11" s="1"/>
      <c r="B11" s="1"/>
      <c r="C11" s="1"/>
      <c r="D11" s="3"/>
      <c r="E11" s="3"/>
      <c r="F11" s="3"/>
      <c r="G11" s="3"/>
      <c r="H11" s="1"/>
      <c r="I11" s="4"/>
      <c r="J11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23B4-AF15-472A-BAB1-9141BE8243D1}">
  <dimension ref="A1:J11"/>
  <sheetViews>
    <sheetView workbookViewId="0">
      <selection activeCell="H5" sqref="H5"/>
    </sheetView>
  </sheetViews>
  <sheetFormatPr defaultRowHeight="15" x14ac:dyDescent="0.25"/>
  <cols>
    <col min="3" max="3" width="15.85546875" customWidth="1"/>
    <col min="4" max="4" width="13.28515625" customWidth="1"/>
    <col min="5" max="5" width="14.28515625" customWidth="1"/>
    <col min="6" max="6" width="11.42578125" customWidth="1"/>
    <col min="7" max="7" width="12.85546875" customWidth="1"/>
    <col min="9" max="9" width="11.5703125" customWidth="1"/>
  </cols>
  <sheetData>
    <row r="1" spans="1:10" x14ac:dyDescent="0.25">
      <c r="A1" s="7" t="s">
        <v>31</v>
      </c>
      <c r="B1" s="8"/>
      <c r="C1" s="8"/>
      <c r="D1" s="8"/>
      <c r="E1" s="8"/>
      <c r="F1" s="8"/>
      <c r="G1" s="9"/>
    </row>
    <row r="2" spans="1:10" x14ac:dyDescent="0.25">
      <c r="A2" s="1"/>
      <c r="B2" s="2">
        <v>46021</v>
      </c>
      <c r="C2" s="1"/>
      <c r="D2" s="1"/>
      <c r="E2" s="1"/>
      <c r="F2" s="1"/>
      <c r="G2" s="1"/>
      <c r="H2" s="1"/>
      <c r="I2" s="1" t="s">
        <v>36</v>
      </c>
      <c r="J2" s="1"/>
    </row>
    <row r="3" spans="1:10" x14ac:dyDescent="0.25">
      <c r="A3" s="1"/>
      <c r="B3" s="1" t="s">
        <v>1</v>
      </c>
      <c r="C3" s="1" t="s">
        <v>0</v>
      </c>
      <c r="D3" s="1" t="s">
        <v>2</v>
      </c>
      <c r="E3" s="1" t="s">
        <v>3</v>
      </c>
      <c r="F3" s="1" t="s">
        <v>5</v>
      </c>
      <c r="G3" s="1" t="s">
        <v>33</v>
      </c>
      <c r="H3" s="1" t="s">
        <v>34</v>
      </c>
      <c r="I3" s="1" t="s">
        <v>32</v>
      </c>
      <c r="J3" s="1" t="s">
        <v>35</v>
      </c>
    </row>
    <row r="4" spans="1:10" x14ac:dyDescent="0.25">
      <c r="A4" s="1"/>
      <c r="B4" s="1">
        <v>9</v>
      </c>
      <c r="C4" s="1" t="s">
        <v>47</v>
      </c>
      <c r="D4" s="3">
        <v>200</v>
      </c>
      <c r="E4" s="3">
        <f>D4*B4</f>
        <v>1800</v>
      </c>
      <c r="F4" s="3">
        <v>359</v>
      </c>
      <c r="G4" s="3">
        <f>(F4-D4)*B4</f>
        <v>1431</v>
      </c>
      <c r="H4" s="1">
        <v>2</v>
      </c>
      <c r="I4" s="4">
        <f>(F4-D4)*H4</f>
        <v>318</v>
      </c>
      <c r="J4" s="1">
        <f>B4-H4</f>
        <v>7</v>
      </c>
    </row>
    <row r="5" spans="1:10" x14ac:dyDescent="0.25">
      <c r="A5" s="1"/>
      <c r="B5" s="1"/>
      <c r="C5" s="1"/>
      <c r="D5" s="3"/>
      <c r="E5" s="3"/>
      <c r="F5" s="3"/>
      <c r="G5" s="3"/>
      <c r="H5" s="1"/>
      <c r="I5" s="4"/>
      <c r="J5" s="1"/>
    </row>
    <row r="6" spans="1:10" x14ac:dyDescent="0.25">
      <c r="A6" s="1"/>
      <c r="B6" s="1"/>
      <c r="C6" s="1"/>
      <c r="D6" s="3"/>
      <c r="E6" s="3"/>
      <c r="F6" s="3"/>
      <c r="G6" s="3"/>
      <c r="H6" s="1"/>
      <c r="I6" s="4"/>
      <c r="J6" s="1"/>
    </row>
    <row r="7" spans="1:10" x14ac:dyDescent="0.25">
      <c r="A7" s="1"/>
      <c r="B7" s="1"/>
      <c r="C7" s="1"/>
      <c r="D7" s="3"/>
      <c r="E7" s="3"/>
      <c r="F7" s="3"/>
      <c r="G7" s="3"/>
      <c r="H7" s="1"/>
      <c r="I7" s="4"/>
      <c r="J7" s="1"/>
    </row>
    <row r="8" spans="1:10" x14ac:dyDescent="0.25">
      <c r="A8" s="1"/>
      <c r="B8" s="1"/>
      <c r="C8" s="1"/>
      <c r="D8" s="3"/>
      <c r="E8" s="3"/>
      <c r="F8" s="3"/>
      <c r="G8" s="3"/>
      <c r="H8" s="1"/>
      <c r="I8" s="4"/>
      <c r="J8" s="1"/>
    </row>
    <row r="9" spans="1:10" x14ac:dyDescent="0.25">
      <c r="A9" s="1"/>
      <c r="B9" s="1"/>
      <c r="C9" s="1"/>
      <c r="D9" s="3"/>
      <c r="E9" s="3"/>
      <c r="F9" s="3"/>
      <c r="G9" s="3"/>
      <c r="H9" s="1"/>
      <c r="I9" s="4"/>
      <c r="J9" s="1"/>
    </row>
    <row r="10" spans="1:10" x14ac:dyDescent="0.25">
      <c r="A10" s="1"/>
      <c r="B10" s="1"/>
      <c r="C10" s="1"/>
      <c r="D10" s="3"/>
      <c r="E10" s="3"/>
      <c r="F10" s="3"/>
      <c r="G10" s="3"/>
      <c r="H10" s="1"/>
      <c r="I10" s="4"/>
      <c r="J10" s="1"/>
    </row>
    <row r="11" spans="1:10" x14ac:dyDescent="0.25">
      <c r="A11" s="1"/>
      <c r="B11" s="1"/>
      <c r="C11" s="1"/>
      <c r="D11" s="3"/>
      <c r="E11" s="3"/>
      <c r="F11" s="3"/>
      <c r="G11" s="3"/>
      <c r="H11" s="1"/>
      <c r="I11" s="4"/>
      <c r="J11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ACA3-B05C-4BDE-8A82-518A462D01F5}">
  <dimension ref="A1:J11"/>
  <sheetViews>
    <sheetView workbookViewId="0">
      <selection activeCell="F5" sqref="F5"/>
    </sheetView>
  </sheetViews>
  <sheetFormatPr defaultRowHeight="15" x14ac:dyDescent="0.25"/>
  <cols>
    <col min="3" max="3" width="31.28515625" customWidth="1"/>
    <col min="4" max="5" width="15.5703125" customWidth="1"/>
    <col min="6" max="6" width="16.42578125" customWidth="1"/>
    <col min="7" max="7" width="13" customWidth="1"/>
  </cols>
  <sheetData>
    <row r="1" spans="1:10" x14ac:dyDescent="0.25">
      <c r="A1" s="7" t="s">
        <v>31</v>
      </c>
      <c r="B1" s="8"/>
      <c r="C1" s="8"/>
      <c r="D1" s="8"/>
      <c r="E1" s="8"/>
      <c r="F1" s="8"/>
      <c r="G1" s="9"/>
    </row>
    <row r="2" spans="1:10" x14ac:dyDescent="0.25">
      <c r="A2" s="1"/>
      <c r="B2" s="2">
        <v>46021</v>
      </c>
      <c r="C2" s="1"/>
      <c r="D2" s="1"/>
      <c r="E2" s="1"/>
      <c r="F2" s="1"/>
      <c r="G2" s="1"/>
      <c r="H2" s="1"/>
      <c r="I2" s="1" t="s">
        <v>36</v>
      </c>
      <c r="J2" s="1"/>
    </row>
    <row r="3" spans="1:10" x14ac:dyDescent="0.25">
      <c r="A3" s="1"/>
      <c r="B3" s="1" t="s">
        <v>1</v>
      </c>
      <c r="C3" s="1" t="s">
        <v>0</v>
      </c>
      <c r="D3" s="1" t="s">
        <v>2</v>
      </c>
      <c r="E3" s="1" t="s">
        <v>3</v>
      </c>
      <c r="F3" s="1" t="s">
        <v>5</v>
      </c>
      <c r="G3" s="1" t="s">
        <v>33</v>
      </c>
      <c r="H3" s="1" t="s">
        <v>34</v>
      </c>
      <c r="I3" s="1" t="s">
        <v>32</v>
      </c>
      <c r="J3" s="1" t="s">
        <v>35</v>
      </c>
    </row>
    <row r="4" spans="1:10" x14ac:dyDescent="0.25">
      <c r="A4" s="1"/>
      <c r="B4" s="1">
        <v>11</v>
      </c>
      <c r="C4" s="1" t="s">
        <v>48</v>
      </c>
      <c r="D4" s="3">
        <v>50</v>
      </c>
      <c r="E4" s="3">
        <f>D4*B4</f>
        <v>550</v>
      </c>
      <c r="F4" s="3">
        <v>80</v>
      </c>
      <c r="G4" s="3">
        <f>(F4-D4)*B4</f>
        <v>330</v>
      </c>
      <c r="H4" s="1"/>
      <c r="I4" s="4">
        <f>(F4-D4)*H4</f>
        <v>0</v>
      </c>
      <c r="J4" s="1">
        <f>B4-H4</f>
        <v>11</v>
      </c>
    </row>
    <row r="5" spans="1:10" x14ac:dyDescent="0.25">
      <c r="A5" s="1"/>
      <c r="B5" s="1">
        <v>3</v>
      </c>
      <c r="C5" s="1" t="s">
        <v>49</v>
      </c>
      <c r="D5" s="3">
        <v>95</v>
      </c>
      <c r="E5" s="3">
        <f t="shared" ref="E5:E7" si="0">D5*B5</f>
        <v>285</v>
      </c>
      <c r="F5" s="3">
        <v>140</v>
      </c>
      <c r="G5" s="3">
        <f t="shared" ref="G5:G7" si="1">(F5-D5)*B5</f>
        <v>135</v>
      </c>
      <c r="H5" s="1"/>
      <c r="I5" s="4">
        <f t="shared" ref="I5:I7" si="2">(F5-D5)*H5</f>
        <v>0</v>
      </c>
      <c r="J5" s="1">
        <f t="shared" ref="J5:J7" si="3">B5-H5</f>
        <v>3</v>
      </c>
    </row>
    <row r="6" spans="1:10" x14ac:dyDescent="0.25">
      <c r="A6" s="1"/>
      <c r="B6" s="1">
        <v>2</v>
      </c>
      <c r="C6" s="1" t="s">
        <v>50</v>
      </c>
      <c r="D6" s="3">
        <v>40</v>
      </c>
      <c r="E6" s="3">
        <f t="shared" si="0"/>
        <v>80</v>
      </c>
      <c r="F6" s="3">
        <v>70</v>
      </c>
      <c r="G6" s="3">
        <f t="shared" si="1"/>
        <v>60</v>
      </c>
      <c r="H6" s="1"/>
      <c r="I6" s="4">
        <f t="shared" si="2"/>
        <v>0</v>
      </c>
      <c r="J6" s="1">
        <f t="shared" si="3"/>
        <v>2</v>
      </c>
    </row>
    <row r="7" spans="1:10" x14ac:dyDescent="0.25">
      <c r="A7" s="1"/>
      <c r="B7" s="1">
        <v>5</v>
      </c>
      <c r="C7" s="1" t="s">
        <v>51</v>
      </c>
      <c r="D7" s="3">
        <v>65</v>
      </c>
      <c r="E7" s="3">
        <f t="shared" si="0"/>
        <v>325</v>
      </c>
      <c r="F7" s="3">
        <v>100</v>
      </c>
      <c r="G7" s="3">
        <f t="shared" si="1"/>
        <v>175</v>
      </c>
      <c r="H7" s="1"/>
      <c r="I7" s="4">
        <f t="shared" si="2"/>
        <v>0</v>
      </c>
      <c r="J7" s="1">
        <f t="shared" si="3"/>
        <v>5</v>
      </c>
    </row>
    <row r="8" spans="1:10" x14ac:dyDescent="0.25">
      <c r="A8" s="1"/>
      <c r="B8" s="1"/>
      <c r="C8" s="1"/>
      <c r="D8" s="3"/>
      <c r="E8" s="3"/>
      <c r="F8" s="3"/>
      <c r="G8" s="3"/>
      <c r="H8" s="1"/>
      <c r="I8" s="4"/>
      <c r="J8" s="1"/>
    </row>
    <row r="9" spans="1:10" x14ac:dyDescent="0.25">
      <c r="A9" s="1"/>
      <c r="B9" s="1"/>
      <c r="C9" s="1"/>
      <c r="D9" s="3"/>
      <c r="E9" s="3"/>
      <c r="F9" s="3"/>
      <c r="G9" s="3"/>
      <c r="H9" s="1"/>
      <c r="I9" s="4"/>
      <c r="J9" s="1"/>
    </row>
    <row r="10" spans="1:10" x14ac:dyDescent="0.25">
      <c r="A10" s="1"/>
      <c r="B10" s="1"/>
      <c r="C10" s="1"/>
      <c r="D10" s="3"/>
      <c r="E10" s="3"/>
      <c r="F10" s="3"/>
      <c r="G10" s="3"/>
      <c r="H10" s="1"/>
      <c r="I10" s="4"/>
      <c r="J10" s="1"/>
    </row>
    <row r="11" spans="1:10" x14ac:dyDescent="0.25">
      <c r="A11" s="1"/>
      <c r="B11" s="1"/>
      <c r="C11" s="1"/>
      <c r="D11" s="3"/>
      <c r="E11" s="3"/>
      <c r="F11" s="3"/>
      <c r="G11" s="3"/>
      <c r="H11" s="1"/>
      <c r="I11" s="4"/>
      <c r="J11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HIPER</vt:lpstr>
      <vt:lpstr>PERNAMBUC</vt:lpstr>
      <vt:lpstr>LIFE COLCHAO</vt:lpstr>
      <vt:lpstr>TAPETE EVANDRO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franciele cristina azevedo nunes</dc:creator>
  <cp:lastModifiedBy>Saldão de Móveis Jerusalém</cp:lastModifiedBy>
  <dcterms:created xsi:type="dcterms:W3CDTF">2025-06-11T18:13:04Z</dcterms:created>
  <dcterms:modified xsi:type="dcterms:W3CDTF">2026-01-16T18:59:19Z</dcterms:modified>
</cp:coreProperties>
</file>