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\Documents\SALDÃO\2026\"/>
    </mc:Choice>
  </mc:AlternateContent>
  <xr:revisionPtr revIDLastSave="0" documentId="13_ncr:1_{76CA719D-C3C8-43DA-ABE6-5900EBE296A2}" xr6:coauthVersionLast="47" xr6:coauthVersionMax="47" xr10:uidLastSave="{00000000-0000-0000-0000-000000000000}"/>
  <bookViews>
    <workbookView xWindow="-120" yWindow="-120" windowWidth="20730" windowHeight="11160" activeTab="2" xr2:uid="{EFAD3859-11DB-49BC-8FBB-179087C1B549}"/>
  </bookViews>
  <sheets>
    <sheet name="LIFE COLCHAO" sheetId="4" r:id="rId1"/>
    <sheet name="COMPRA HIPER 2026" sheetId="3" r:id="rId2"/>
    <sheet name="porto velh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4" i="4" l="1"/>
  <c r="G35" i="4"/>
  <c r="E35" i="4"/>
  <c r="B23" i="4"/>
  <c r="G22" i="4"/>
  <c r="E22" i="4"/>
  <c r="G21" i="4"/>
  <c r="E21" i="4"/>
  <c r="G20" i="4"/>
  <c r="E20" i="4"/>
  <c r="E19" i="4"/>
  <c r="E18" i="4"/>
  <c r="E17" i="4"/>
  <c r="G16" i="4"/>
  <c r="E16" i="4"/>
  <c r="E15" i="4"/>
  <c r="E14" i="4"/>
  <c r="E13" i="4"/>
  <c r="E12" i="4"/>
  <c r="E11" i="4"/>
  <c r="E10" i="4"/>
  <c r="E9" i="4"/>
  <c r="G8" i="4"/>
  <c r="E8" i="4"/>
  <c r="G7" i="4"/>
  <c r="E7" i="4"/>
  <c r="G6" i="4"/>
  <c r="E6" i="4"/>
  <c r="G5" i="4"/>
  <c r="E5" i="4"/>
  <c r="G4" i="4"/>
  <c r="E4" i="4"/>
  <c r="G63" i="3"/>
  <c r="E63" i="3"/>
  <c r="G62" i="3"/>
  <c r="E62" i="3"/>
  <c r="E24" i="4" l="1"/>
  <c r="G24" i="4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44" i="3"/>
  <c r="G44" i="3"/>
  <c r="E45" i="3"/>
  <c r="G45" i="3"/>
  <c r="E46" i="3"/>
  <c r="G46" i="3"/>
  <c r="E47" i="3"/>
  <c r="G47" i="3"/>
  <c r="E48" i="3"/>
  <c r="G48" i="3"/>
  <c r="E49" i="3"/>
  <c r="G49" i="3"/>
  <c r="E50" i="3"/>
  <c r="G50" i="3"/>
  <c r="E51" i="3"/>
  <c r="G51" i="3"/>
  <c r="E52" i="3"/>
  <c r="G52" i="3"/>
  <c r="E53" i="3"/>
  <c r="G53" i="3"/>
  <c r="E54" i="3"/>
  <c r="G54" i="3"/>
  <c r="E55" i="3"/>
  <c r="G55" i="3"/>
  <c r="E56" i="3"/>
  <c r="G56" i="3"/>
  <c r="E57" i="3"/>
  <c r="G57" i="3"/>
  <c r="G43" i="3"/>
  <c r="E43" i="3"/>
  <c r="E58" i="3" l="1"/>
  <c r="G28" i="3"/>
  <c r="G27" i="3"/>
  <c r="G19" i="3"/>
  <c r="E28" i="3"/>
  <c r="E27" i="3"/>
  <c r="E19" i="3"/>
  <c r="G34" i="3"/>
  <c r="E34" i="3"/>
  <c r="G33" i="3"/>
  <c r="E33" i="3"/>
  <c r="G32" i="3"/>
  <c r="E32" i="3"/>
  <c r="G31" i="3"/>
  <c r="E31" i="3"/>
  <c r="G30" i="3"/>
  <c r="E30" i="3"/>
  <c r="G29" i="3"/>
  <c r="E29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G4" i="3"/>
  <c r="G36" i="3" s="1"/>
  <c r="E4" i="3"/>
  <c r="E36" i="3" l="1"/>
  <c r="K64" i="2" l="1"/>
  <c r="G16" i="2"/>
  <c r="B23" i="2"/>
  <c r="G22" i="2"/>
  <c r="G21" i="2"/>
  <c r="G20" i="2"/>
  <c r="G8" i="2"/>
  <c r="G7" i="2"/>
  <c r="G6" i="2"/>
  <c r="G5" i="2"/>
  <c r="G4" i="2"/>
  <c r="E4" i="2"/>
  <c r="E24" i="2" l="1"/>
  <c r="G24" i="2"/>
</calcChain>
</file>

<file path=xl/sharedStrings.xml><?xml version="1.0" encoding="utf-8"?>
<sst xmlns="http://schemas.openxmlformats.org/spreadsheetml/2006/main" count="118" uniqueCount="75">
  <si>
    <t>COD</t>
  </si>
  <si>
    <t>DESCRIÇÃO</t>
  </si>
  <si>
    <t>QUANTIDADE</t>
  </si>
  <si>
    <t>VALOR UNIT.</t>
  </si>
  <si>
    <t>VALOR TOTAL</t>
  </si>
  <si>
    <t>COMPRA</t>
  </si>
  <si>
    <t>VENDAS</t>
  </si>
  <si>
    <t>PREÇO REVENDA</t>
  </si>
  <si>
    <t>LUCRO</t>
  </si>
  <si>
    <t>porto velho - 3 boleto 15/10 - 15/11 - 15/12</t>
  </si>
  <si>
    <t>BALCAO PIA 1,20 BRANCO</t>
  </si>
  <si>
    <t>OUTUBRO</t>
  </si>
  <si>
    <t xml:space="preserve">PEDIDO DIA 08/10 ENTREGA </t>
  </si>
  <si>
    <t>ARMARIO LAVANDERIA</t>
  </si>
  <si>
    <t>COMODA INFATIL</t>
  </si>
  <si>
    <t>RACK RUBI NATURE</t>
  </si>
  <si>
    <t>outubro</t>
  </si>
  <si>
    <t>ENTREGA DIA 11/11</t>
  </si>
  <si>
    <t>BASE SOLTEIRO</t>
  </si>
  <si>
    <t>COZINHA KIT VIOLETA</t>
  </si>
  <si>
    <t>COMPRAS PORTO 2025 - 13298,00</t>
  </si>
  <si>
    <t>ARMARIO MILA 1,20 BRANCO</t>
  </si>
  <si>
    <t>ARMARIO MILA 1,20 GRAFITE/FREIJO</t>
  </si>
  <si>
    <t>BALCAO PIA 1,20 GRAFITE/FREIJO</t>
  </si>
  <si>
    <t>BALCAO PIA 1,20 OFF/FREIJO</t>
  </si>
  <si>
    <t>BALCAO VIENA FREIJO/BRANCO</t>
  </si>
  <si>
    <t>BALCAO VIENA BRANCO</t>
  </si>
  <si>
    <t>BALCAO DUNA BRANCO</t>
  </si>
  <si>
    <t>COZINHA COMPACTA ZURIQUE COMPLETA FREIJ/CAMURCA</t>
  </si>
  <si>
    <t>COZINHA COMPACTA VERSALES COMPLETA FREIJ/GRISS</t>
  </si>
  <si>
    <t>COZINHA COMPACTA VERSALES COMPLETA FREIJ/SOFT</t>
  </si>
  <si>
    <t>BUFFET RETRO 3P CANELATO3D/NATURA OFF 5336</t>
  </si>
  <si>
    <t>BUFFET RETRO 3P NATURA OFF/WOOD AMAD5336</t>
  </si>
  <si>
    <t>BUFFET RETRO 2P NATURA OFF/WOOD AMAD 5337</t>
  </si>
  <si>
    <t>BUFFET CAIRO BRANCO</t>
  </si>
  <si>
    <t>BUFFET CAIRO FREIJO/BRANCO</t>
  </si>
  <si>
    <t>GUARDA ROUPA NEW XANGAI 6 PORTAS BRANCO</t>
  </si>
  <si>
    <t>GUARA ROUPA BURITI 4PORTAS JATOBA</t>
  </si>
  <si>
    <t>GUARA ROUPA FIT 3,2 BRANCO</t>
  </si>
  <si>
    <t>CAMA ROBUSTA SOLTEIRO BRANCO</t>
  </si>
  <si>
    <t>COMODA FIT 1,4BRANCA</t>
  </si>
  <si>
    <t>COMODA FIT 1,4JEQUITIBA</t>
  </si>
  <si>
    <t>COMODA FIT 1,4 JEQUITBA/OFF</t>
  </si>
  <si>
    <t>BASE CASAL</t>
  </si>
  <si>
    <t>CAMA ANGEL NUVEM BRANCA</t>
  </si>
  <si>
    <t>PAGAMENTO DIA 30/12 - CARTAO MAGALU ( 1 VENCIMENTO DIA 20/01 10X TOTAL 2612,00</t>
  </si>
  <si>
    <t>CARTAO C6 ( 1 VENCIMENTO DIA 05/02 10X TOTAL 16539,00</t>
  </si>
  <si>
    <t>3 kit balli branco</t>
  </si>
  <si>
    <t>kit bali off</t>
  </si>
  <si>
    <t>kit bali grafite</t>
  </si>
  <si>
    <t xml:space="preserve">comoda fit branca </t>
  </si>
  <si>
    <t>comoda fit off</t>
  </si>
  <si>
    <t>sapateira branca</t>
  </si>
  <si>
    <t>sapateira marrom</t>
  </si>
  <si>
    <t>sapateira preta</t>
  </si>
  <si>
    <t>ARMARIO LAVANDERIA PRATELEIRA</t>
  </si>
  <si>
    <t>COZINHA 0,90  VIOLETA GRAFITE</t>
  </si>
  <si>
    <t>COZINHA 0,90 VIOLETA OFF</t>
  </si>
  <si>
    <t>PAINEL TV PANDORA CEDRO</t>
  </si>
  <si>
    <t>PAINEL TV PANDORA FREIJO</t>
  </si>
  <si>
    <t>RACK TV AGRA CEDRO BALO</t>
  </si>
  <si>
    <t>RACK TV AGRA FREIJO OFF</t>
  </si>
  <si>
    <t>RACK JOAQUIM CIANOMOO</t>
  </si>
  <si>
    <t>RACJ JOAQUIM OFF</t>
  </si>
  <si>
    <t>RACK JOAQUIM PRETO</t>
  </si>
  <si>
    <t>MESA EDNA COM 4 BANCOS</t>
  </si>
  <si>
    <t>APARADOR 3 PORTA AMADEIRADO</t>
  </si>
  <si>
    <t>JOGO DE MESA OFF</t>
  </si>
  <si>
    <t>JOGO DE MESA PRETA</t>
  </si>
  <si>
    <t>PAGAMENTO DIA 14/01 SANTANDER ( 1 VENCIMENTO DIA 12/02 10X 652,98 TOTAL 6529,74</t>
  </si>
  <si>
    <t>PAGAMENTO DIA 14/01 A VISTA PIX 538,00</t>
  </si>
  <si>
    <t>COLCHAO SOLTEIRO D23 88X188</t>
  </si>
  <si>
    <t>COLCHAO BERÇO 70X1,50</t>
  </si>
  <si>
    <t>COMPRA DIA 16/01 PAGAMENTO 560,00 PIX RESTANTE 550,00 31/01</t>
  </si>
  <si>
    <t>PEDIDO 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</si>
</sst>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6" fontId="0" fillId="0" borderId="1" xfId="0" applyNumberFormat="1" applyBorder="1"/>
    <xf numFmtId="44" fontId="0" fillId="0" borderId="1" xfId="1" applyFont="1" applyBorder="1"/>
    <xf numFmtId="44" fontId="0" fillId="0" borderId="0" xfId="0" applyNumberFormat="1"/>
    <xf numFmtId="44" fontId="0" fillId="0" borderId="0" xfId="1" applyFont="1"/>
    <xf numFmtId="18" fontId="0" fillId="0" borderId="1" xfId="0" applyNumberFormat="1" applyBorder="1"/>
    <xf numFmtId="0" fontId="0" fillId="0" borderId="5" xfId="0" applyBorder="1"/>
    <xf numFmtId="44" fontId="0" fillId="0" borderId="5" xfId="1" applyFont="1" applyFill="1" applyBorder="1"/>
    <xf numFmtId="0" fontId="0" fillId="3" borderId="1" xfId="0" applyFill="1" applyBorder="1"/>
    <xf numFmtId="44" fontId="0" fillId="3" borderId="1" xfId="1" applyFont="1" applyFill="1" applyBorder="1"/>
    <xf numFmtId="0" fontId="0" fillId="3" borderId="0" xfId="0" applyFill="1"/>
    <xf numFmtId="16" fontId="0" fillId="3" borderId="0" xfId="0" applyNumberFormat="1" applyFill="1"/>
    <xf numFmtId="44" fontId="0" fillId="3" borderId="0" xfId="1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4053-DA0D-45FD-A3CC-3612B943A09E}">
  <dimension ref="A1:K64"/>
  <sheetViews>
    <sheetView workbookViewId="0">
      <selection activeCell="A25" sqref="A25"/>
    </sheetView>
  </sheetViews>
  <sheetFormatPr defaultRowHeight="15" x14ac:dyDescent="0.25"/>
  <cols>
    <col min="1" max="1" width="21.28515625" customWidth="1"/>
    <col min="2" max="2" width="15.28515625" customWidth="1"/>
    <col min="3" max="3" width="38.140625" customWidth="1"/>
    <col min="4" max="4" width="18.85546875" customWidth="1"/>
    <col min="5" max="5" width="12.85546875" customWidth="1"/>
    <col min="6" max="6" width="13.140625" customWidth="1"/>
    <col min="7" max="7" width="13.28515625" customWidth="1"/>
    <col min="9" max="9" width="15.7109375" customWidth="1"/>
    <col min="10" max="10" width="23.28515625" customWidth="1"/>
    <col min="11" max="11" width="19.7109375" customWidth="1"/>
  </cols>
  <sheetData>
    <row r="1" spans="1:11" x14ac:dyDescent="0.25">
      <c r="A1" s="14" t="s">
        <v>5</v>
      </c>
      <c r="B1" s="15"/>
      <c r="C1" s="15"/>
      <c r="D1" s="15"/>
      <c r="E1" s="15"/>
      <c r="F1" s="15"/>
      <c r="G1" s="16"/>
      <c r="I1" s="1" t="s">
        <v>6</v>
      </c>
      <c r="J1" s="1" t="s">
        <v>16</v>
      </c>
      <c r="K1" s="1"/>
    </row>
    <row r="2" spans="1:11" x14ac:dyDescent="0.25">
      <c r="A2" s="1"/>
      <c r="B2" s="2" t="s">
        <v>11</v>
      </c>
      <c r="C2" s="1" t="s">
        <v>12</v>
      </c>
      <c r="D2" s="1"/>
      <c r="E2" s="1"/>
      <c r="F2" s="1"/>
      <c r="G2" s="1"/>
      <c r="I2" s="2"/>
      <c r="J2" s="1"/>
      <c r="K2" s="3"/>
    </row>
    <row r="3" spans="1:11" x14ac:dyDescent="0.25">
      <c r="A3" s="1" t="s">
        <v>0</v>
      </c>
      <c r="B3" s="1" t="s">
        <v>2</v>
      </c>
      <c r="C3" s="1" t="s">
        <v>1</v>
      </c>
      <c r="D3" s="1" t="s">
        <v>3</v>
      </c>
      <c r="E3" s="1" t="s">
        <v>4</v>
      </c>
      <c r="F3" s="1" t="s">
        <v>7</v>
      </c>
      <c r="G3" s="1" t="s">
        <v>8</v>
      </c>
      <c r="I3" s="2"/>
      <c r="J3" s="1"/>
      <c r="K3" s="3"/>
    </row>
    <row r="4" spans="1:11" x14ac:dyDescent="0.25">
      <c r="A4" s="9"/>
      <c r="B4" s="9">
        <v>6</v>
      </c>
      <c r="C4" s="9" t="s">
        <v>71</v>
      </c>
      <c r="D4" s="10">
        <v>115</v>
      </c>
      <c r="E4" s="10">
        <f>D4*B4</f>
        <v>690</v>
      </c>
      <c r="F4" s="10">
        <v>199</v>
      </c>
      <c r="G4" s="10">
        <f>(F4-D4)*B4</f>
        <v>504</v>
      </c>
      <c r="I4" s="2"/>
      <c r="J4" s="1"/>
      <c r="K4" s="3"/>
    </row>
    <row r="5" spans="1:11" x14ac:dyDescent="0.25">
      <c r="A5" s="9"/>
      <c r="B5" s="9">
        <v>3</v>
      </c>
      <c r="C5" s="9" t="s">
        <v>72</v>
      </c>
      <c r="D5" s="10">
        <v>135</v>
      </c>
      <c r="E5" s="10">
        <f t="shared" ref="E5:E22" si="0">D5*B5</f>
        <v>405</v>
      </c>
      <c r="F5" s="10">
        <v>199</v>
      </c>
      <c r="G5" s="10">
        <f t="shared" ref="G5:G22" si="1">(F5-D5)*B5</f>
        <v>192</v>
      </c>
      <c r="I5" s="2"/>
      <c r="J5" s="1"/>
      <c r="K5" s="3"/>
    </row>
    <row r="6" spans="1:11" x14ac:dyDescent="0.25">
      <c r="A6" s="9"/>
      <c r="B6" s="9"/>
      <c r="C6" s="9"/>
      <c r="D6" s="10"/>
      <c r="E6" s="10">
        <f t="shared" si="0"/>
        <v>0</v>
      </c>
      <c r="F6" s="10">
        <v>289</v>
      </c>
      <c r="G6" s="10">
        <f t="shared" si="1"/>
        <v>0</v>
      </c>
      <c r="I6" s="2"/>
      <c r="J6" s="1"/>
      <c r="K6" s="3"/>
    </row>
    <row r="7" spans="1:11" x14ac:dyDescent="0.25">
      <c r="A7" s="9"/>
      <c r="B7" s="9"/>
      <c r="C7" s="9"/>
      <c r="D7" s="10"/>
      <c r="E7" s="10">
        <f t="shared" si="0"/>
        <v>0</v>
      </c>
      <c r="F7" s="10">
        <v>399</v>
      </c>
      <c r="G7" s="10">
        <f t="shared" si="1"/>
        <v>0</v>
      </c>
      <c r="I7" s="2"/>
      <c r="J7" s="1"/>
      <c r="K7" s="3"/>
    </row>
    <row r="8" spans="1:11" x14ac:dyDescent="0.25">
      <c r="A8" s="9"/>
      <c r="B8" s="9"/>
      <c r="C8" s="9"/>
      <c r="D8" s="10"/>
      <c r="E8" s="10">
        <f t="shared" si="0"/>
        <v>0</v>
      </c>
      <c r="F8" s="10">
        <v>399</v>
      </c>
      <c r="G8" s="10">
        <f t="shared" si="1"/>
        <v>0</v>
      </c>
      <c r="I8" s="2"/>
      <c r="J8" s="1"/>
      <c r="K8" s="3"/>
    </row>
    <row r="9" spans="1:11" x14ac:dyDescent="0.25">
      <c r="A9" s="9"/>
      <c r="B9" s="9"/>
      <c r="C9" s="9"/>
      <c r="D9" s="10"/>
      <c r="E9" s="10">
        <f t="shared" si="0"/>
        <v>0</v>
      </c>
      <c r="F9" s="10">
        <v>350</v>
      </c>
      <c r="G9" s="10"/>
      <c r="I9" s="2"/>
      <c r="J9" s="1"/>
      <c r="K9" s="3"/>
    </row>
    <row r="10" spans="1:11" x14ac:dyDescent="0.25">
      <c r="A10" s="9"/>
      <c r="B10" s="9"/>
      <c r="C10" s="9"/>
      <c r="D10" s="10"/>
      <c r="E10" s="10">
        <f t="shared" si="0"/>
        <v>0</v>
      </c>
      <c r="F10" s="10">
        <v>390</v>
      </c>
      <c r="G10" s="10"/>
      <c r="I10" s="2"/>
      <c r="J10" s="1"/>
      <c r="K10" s="3"/>
    </row>
    <row r="11" spans="1:11" x14ac:dyDescent="0.25">
      <c r="A11" s="9"/>
      <c r="B11" s="9"/>
      <c r="C11" s="9"/>
      <c r="D11" s="10"/>
      <c r="E11" s="10">
        <f t="shared" si="0"/>
        <v>0</v>
      </c>
      <c r="F11" s="10">
        <v>250</v>
      </c>
      <c r="G11" s="10"/>
      <c r="I11" s="2"/>
      <c r="J11" s="1"/>
      <c r="K11" s="3"/>
    </row>
    <row r="12" spans="1:11" x14ac:dyDescent="0.25">
      <c r="A12" s="9"/>
      <c r="B12" s="9"/>
      <c r="C12" s="9"/>
      <c r="D12" s="10"/>
      <c r="E12" s="10">
        <f t="shared" si="0"/>
        <v>0</v>
      </c>
      <c r="F12" s="10">
        <v>239</v>
      </c>
      <c r="G12" s="10"/>
      <c r="I12" s="2"/>
      <c r="J12" s="1"/>
      <c r="K12" s="3"/>
    </row>
    <row r="13" spans="1:11" x14ac:dyDescent="0.25">
      <c r="A13" s="9"/>
      <c r="B13" s="9"/>
      <c r="C13" s="9"/>
      <c r="D13" s="10"/>
      <c r="E13" s="10">
        <f t="shared" si="0"/>
        <v>0</v>
      </c>
      <c r="F13" s="10">
        <v>299</v>
      </c>
      <c r="G13" s="10"/>
      <c r="I13" s="2"/>
      <c r="J13" s="1"/>
      <c r="K13" s="3"/>
    </row>
    <row r="14" spans="1:11" x14ac:dyDescent="0.25">
      <c r="A14" s="9"/>
      <c r="B14" s="9"/>
      <c r="C14" s="9"/>
      <c r="D14" s="10"/>
      <c r="E14" s="10">
        <f t="shared" si="0"/>
        <v>0</v>
      </c>
      <c r="F14" s="10">
        <v>469</v>
      </c>
      <c r="G14" s="10"/>
      <c r="I14" s="2"/>
      <c r="J14" s="1"/>
      <c r="K14" s="3"/>
    </row>
    <row r="15" spans="1:11" x14ac:dyDescent="0.25">
      <c r="A15" s="9"/>
      <c r="B15" s="9"/>
      <c r="C15" s="9"/>
      <c r="D15" s="10"/>
      <c r="E15" s="10">
        <f t="shared" si="0"/>
        <v>0</v>
      </c>
      <c r="F15" s="10">
        <v>399</v>
      </c>
      <c r="G15" s="10"/>
      <c r="I15" s="2"/>
      <c r="J15" s="1"/>
      <c r="K15" s="3"/>
    </row>
    <row r="16" spans="1:11" x14ac:dyDescent="0.25">
      <c r="A16" s="9"/>
      <c r="B16" s="9"/>
      <c r="C16" s="9"/>
      <c r="D16" s="10"/>
      <c r="E16" s="10">
        <f t="shared" si="0"/>
        <v>0</v>
      </c>
      <c r="F16" s="10">
        <v>339</v>
      </c>
      <c r="G16" s="10">
        <f t="shared" ref="G16" si="2">(F16-D16)*B16</f>
        <v>0</v>
      </c>
      <c r="I16" s="2"/>
      <c r="J16" s="1"/>
      <c r="K16" s="3"/>
    </row>
    <row r="17" spans="1:11" x14ac:dyDescent="0.25">
      <c r="A17" s="9"/>
      <c r="B17" s="9"/>
      <c r="C17" s="9"/>
      <c r="D17" s="10"/>
      <c r="E17" s="10">
        <f t="shared" si="0"/>
        <v>0</v>
      </c>
      <c r="F17" s="10"/>
      <c r="G17" s="10"/>
      <c r="I17" s="2"/>
      <c r="J17" s="1"/>
      <c r="K17" s="3"/>
    </row>
    <row r="18" spans="1:11" x14ac:dyDescent="0.25">
      <c r="A18" s="9"/>
      <c r="B18" s="9"/>
      <c r="C18" s="9"/>
      <c r="D18" s="10"/>
      <c r="E18" s="10">
        <f t="shared" si="0"/>
        <v>0</v>
      </c>
      <c r="F18" s="10"/>
      <c r="G18" s="10"/>
      <c r="I18" s="2"/>
      <c r="J18" s="1"/>
      <c r="K18" s="3"/>
    </row>
    <row r="19" spans="1:11" x14ac:dyDescent="0.25">
      <c r="A19" s="9"/>
      <c r="B19" s="9"/>
      <c r="C19" s="9"/>
      <c r="D19" s="10"/>
      <c r="E19" s="10">
        <f t="shared" si="0"/>
        <v>0</v>
      </c>
      <c r="F19" s="10"/>
      <c r="G19" s="10"/>
      <c r="I19" s="2"/>
      <c r="J19" s="1"/>
      <c r="K19" s="3"/>
    </row>
    <row r="20" spans="1:11" x14ac:dyDescent="0.25">
      <c r="A20" s="9"/>
      <c r="B20" s="9"/>
      <c r="C20" s="9"/>
      <c r="D20" s="10"/>
      <c r="E20" s="10">
        <f t="shared" si="0"/>
        <v>0</v>
      </c>
      <c r="F20" s="10"/>
      <c r="G20" s="10">
        <f t="shared" si="1"/>
        <v>0</v>
      </c>
      <c r="I20" s="2"/>
      <c r="J20" s="1"/>
      <c r="K20" s="3"/>
    </row>
    <row r="21" spans="1:11" x14ac:dyDescent="0.25">
      <c r="A21" s="9"/>
      <c r="B21" s="9"/>
      <c r="C21" s="9"/>
      <c r="D21" s="10"/>
      <c r="E21" s="10">
        <f t="shared" si="0"/>
        <v>0</v>
      </c>
      <c r="F21" s="10"/>
      <c r="G21" s="10">
        <f t="shared" si="1"/>
        <v>0</v>
      </c>
      <c r="I21" s="2"/>
      <c r="J21" s="1"/>
      <c r="K21" s="3"/>
    </row>
    <row r="22" spans="1:11" x14ac:dyDescent="0.25">
      <c r="A22" s="9"/>
      <c r="B22" s="9"/>
      <c r="C22" s="9"/>
      <c r="D22" s="10"/>
      <c r="E22" s="10">
        <f t="shared" si="0"/>
        <v>0</v>
      </c>
      <c r="F22" s="10"/>
      <c r="G22" s="10">
        <f t="shared" si="1"/>
        <v>0</v>
      </c>
      <c r="I22" s="2"/>
      <c r="J22" s="1"/>
      <c r="K22" s="3"/>
    </row>
    <row r="23" spans="1:11" x14ac:dyDescent="0.25">
      <c r="B23">
        <f>SUM(B4:B22)</f>
        <v>9</v>
      </c>
      <c r="G23" s="5"/>
      <c r="I23" s="2"/>
      <c r="J23" s="1"/>
      <c r="K23" s="3"/>
    </row>
    <row r="24" spans="1:11" x14ac:dyDescent="0.25">
      <c r="E24" s="4">
        <f>SUM(E4:E23)</f>
        <v>1095</v>
      </c>
      <c r="G24" s="5">
        <f>SUM(G4:G23)</f>
        <v>696</v>
      </c>
      <c r="I24" s="2"/>
      <c r="J24" s="1"/>
      <c r="K24" s="3"/>
    </row>
    <row r="25" spans="1:11" x14ac:dyDescent="0.25">
      <c r="A25" t="s">
        <v>73</v>
      </c>
      <c r="I25" s="2"/>
      <c r="J25" s="1"/>
      <c r="K25" s="3"/>
    </row>
    <row r="26" spans="1:11" x14ac:dyDescent="0.25">
      <c r="A26" s="17"/>
      <c r="B26" s="17"/>
      <c r="C26" s="17"/>
      <c r="D26" s="17"/>
      <c r="E26" s="17"/>
      <c r="F26" s="17"/>
      <c r="G26" s="17"/>
      <c r="I26" s="2"/>
      <c r="J26" s="1"/>
      <c r="K26" s="3"/>
    </row>
    <row r="27" spans="1:11" x14ac:dyDescent="0.25">
      <c r="A27" s="11"/>
      <c r="B27" s="12"/>
      <c r="C27" s="11"/>
      <c r="D27" s="11"/>
      <c r="E27" s="11"/>
      <c r="F27" s="11"/>
      <c r="G27" s="11"/>
      <c r="I27" s="2"/>
      <c r="J27" s="1"/>
      <c r="K27" s="3"/>
    </row>
    <row r="28" spans="1:11" x14ac:dyDescent="0.25">
      <c r="A28" s="11"/>
      <c r="B28" s="11"/>
      <c r="C28" s="11"/>
      <c r="D28" s="11"/>
      <c r="E28" s="11"/>
      <c r="F28" s="11"/>
      <c r="G28" s="11"/>
      <c r="I28" s="2"/>
      <c r="J28" s="1"/>
      <c r="K28" s="3"/>
    </row>
    <row r="29" spans="1:11" x14ac:dyDescent="0.25">
      <c r="A29" s="11"/>
      <c r="B29" s="11"/>
      <c r="C29" s="11"/>
      <c r="D29" s="13"/>
      <c r="E29" s="13"/>
      <c r="F29" s="13"/>
      <c r="G29" s="13"/>
      <c r="I29" s="2"/>
      <c r="J29" s="1"/>
      <c r="K29" s="3"/>
    </row>
    <row r="30" spans="1:11" x14ac:dyDescent="0.25">
      <c r="A30" s="11"/>
      <c r="B30" s="11"/>
      <c r="C30" s="11"/>
      <c r="D30" s="11"/>
      <c r="E30" s="11"/>
      <c r="F30" s="11"/>
      <c r="G30" s="11"/>
      <c r="I30" s="2"/>
      <c r="J30" s="1"/>
      <c r="K30" s="3"/>
    </row>
    <row r="31" spans="1:11" x14ac:dyDescent="0.25">
      <c r="I31" s="2"/>
      <c r="J31" s="1"/>
      <c r="K31" s="3"/>
    </row>
    <row r="32" spans="1:11" x14ac:dyDescent="0.25">
      <c r="A32" s="14" t="s">
        <v>9</v>
      </c>
      <c r="B32" s="15"/>
      <c r="C32" s="15"/>
      <c r="D32" s="15"/>
      <c r="E32" s="15"/>
      <c r="F32" s="15"/>
      <c r="G32" s="16"/>
      <c r="I32" s="2"/>
      <c r="J32" s="1"/>
      <c r="K32" s="3"/>
    </row>
    <row r="33" spans="1:11" x14ac:dyDescent="0.25">
      <c r="A33" s="1"/>
      <c r="B33" s="2">
        <v>45972</v>
      </c>
      <c r="C33" s="1"/>
      <c r="D33" s="1"/>
      <c r="E33" s="1"/>
      <c r="F33" s="1"/>
      <c r="G33" s="1"/>
      <c r="I33" s="2"/>
      <c r="J33" s="1"/>
      <c r="K33" s="3"/>
    </row>
    <row r="34" spans="1:11" x14ac:dyDescent="0.25">
      <c r="A34" s="1" t="s">
        <v>0</v>
      </c>
      <c r="B34" s="1" t="s">
        <v>2</v>
      </c>
      <c r="C34" s="1" t="s">
        <v>1</v>
      </c>
      <c r="D34" s="1" t="s">
        <v>3</v>
      </c>
      <c r="E34" s="1" t="s">
        <v>4</v>
      </c>
      <c r="F34" s="1" t="s">
        <v>7</v>
      </c>
      <c r="G34" s="1" t="s">
        <v>8</v>
      </c>
      <c r="I34" s="2"/>
      <c r="J34" s="1"/>
      <c r="K34" s="3"/>
    </row>
    <row r="35" spans="1:11" x14ac:dyDescent="0.25">
      <c r="A35" s="1"/>
      <c r="B35" s="1">
        <v>5</v>
      </c>
      <c r="C35" s="1" t="s">
        <v>19</v>
      </c>
      <c r="D35" s="3">
        <v>269</v>
      </c>
      <c r="E35" s="3">
        <f>D35*B35</f>
        <v>1345</v>
      </c>
      <c r="F35" s="3">
        <v>379</v>
      </c>
      <c r="G35" s="3">
        <f>(F35-D35)*B35</f>
        <v>550</v>
      </c>
      <c r="I35" s="2"/>
      <c r="J35" s="1"/>
      <c r="K35" s="3"/>
    </row>
    <row r="36" spans="1:11" x14ac:dyDescent="0.25">
      <c r="I36" s="2"/>
      <c r="J36" s="1"/>
      <c r="K36" s="3"/>
    </row>
    <row r="37" spans="1:11" x14ac:dyDescent="0.25">
      <c r="I37" s="2"/>
      <c r="J37" s="1"/>
      <c r="K37" s="3"/>
    </row>
    <row r="38" spans="1:11" x14ac:dyDescent="0.25">
      <c r="A38" t="s">
        <v>20</v>
      </c>
      <c r="I38" s="2"/>
      <c r="J38" s="1"/>
      <c r="K38" s="3"/>
    </row>
    <row r="39" spans="1:11" x14ac:dyDescent="0.25">
      <c r="I39" s="2"/>
      <c r="J39" s="1"/>
      <c r="K39" s="3"/>
    </row>
    <row r="40" spans="1:11" x14ac:dyDescent="0.25">
      <c r="I40" s="2"/>
      <c r="J40" s="1"/>
      <c r="K40" s="3"/>
    </row>
    <row r="41" spans="1:11" x14ac:dyDescent="0.25">
      <c r="I41" s="2"/>
      <c r="J41" s="1"/>
      <c r="K41" s="3"/>
    </row>
    <row r="42" spans="1:11" x14ac:dyDescent="0.25">
      <c r="I42" s="2"/>
      <c r="J42" s="1"/>
      <c r="K42" s="3"/>
    </row>
    <row r="43" spans="1:11" x14ac:dyDescent="0.25">
      <c r="I43" s="2"/>
      <c r="J43" s="1"/>
      <c r="K43" s="3"/>
    </row>
    <row r="44" spans="1:11" x14ac:dyDescent="0.25">
      <c r="I44" s="2"/>
      <c r="J44" s="6"/>
      <c r="K44" s="3"/>
    </row>
    <row r="45" spans="1:11" x14ac:dyDescent="0.25">
      <c r="I45" s="2"/>
      <c r="J45" s="1"/>
      <c r="K45" s="3"/>
    </row>
    <row r="46" spans="1:11" x14ac:dyDescent="0.25">
      <c r="I46" s="2"/>
      <c r="J46" s="1"/>
      <c r="K46" s="3"/>
    </row>
    <row r="47" spans="1:11" x14ac:dyDescent="0.25">
      <c r="I47" s="2"/>
      <c r="J47" s="1"/>
      <c r="K47" s="3"/>
    </row>
    <row r="48" spans="1:11" x14ac:dyDescent="0.25">
      <c r="I48" s="2"/>
      <c r="J48" s="1"/>
      <c r="K48" s="3"/>
    </row>
    <row r="49" spans="9:11" x14ac:dyDescent="0.25">
      <c r="I49" s="2"/>
      <c r="J49" s="1"/>
      <c r="K49" s="3"/>
    </row>
    <row r="50" spans="9:11" x14ac:dyDescent="0.25">
      <c r="I50" s="2"/>
      <c r="J50" s="1"/>
      <c r="K50" s="3"/>
    </row>
    <row r="51" spans="9:11" x14ac:dyDescent="0.25">
      <c r="I51" s="2"/>
      <c r="J51" s="1"/>
      <c r="K51" s="3"/>
    </row>
    <row r="52" spans="9:11" x14ac:dyDescent="0.25">
      <c r="I52" s="2"/>
      <c r="J52" s="1"/>
      <c r="K52" s="3"/>
    </row>
    <row r="53" spans="9:11" x14ac:dyDescent="0.25">
      <c r="I53" s="2"/>
      <c r="J53" s="1"/>
      <c r="K53" s="3"/>
    </row>
    <row r="54" spans="9:11" x14ac:dyDescent="0.25">
      <c r="I54" s="2"/>
      <c r="J54" s="1"/>
      <c r="K54" s="3"/>
    </row>
    <row r="55" spans="9:11" x14ac:dyDescent="0.25">
      <c r="I55" s="2"/>
      <c r="J55" s="1"/>
      <c r="K55" s="3"/>
    </row>
    <row r="56" spans="9:11" x14ac:dyDescent="0.25">
      <c r="I56" s="2"/>
      <c r="J56" s="1"/>
      <c r="K56" s="3"/>
    </row>
    <row r="57" spans="9:11" x14ac:dyDescent="0.25">
      <c r="I57" s="2"/>
      <c r="J57" s="1"/>
      <c r="K57" s="3"/>
    </row>
    <row r="58" spans="9:11" x14ac:dyDescent="0.25">
      <c r="I58" s="2"/>
      <c r="J58" s="1"/>
      <c r="K58" s="3"/>
    </row>
    <row r="59" spans="9:11" x14ac:dyDescent="0.25">
      <c r="I59" s="2"/>
      <c r="J59" s="1"/>
      <c r="K59" s="3"/>
    </row>
    <row r="60" spans="9:11" x14ac:dyDescent="0.25">
      <c r="I60" s="2"/>
      <c r="J60" s="1"/>
      <c r="K60" s="3"/>
    </row>
    <row r="61" spans="9:11" x14ac:dyDescent="0.25">
      <c r="I61" s="2"/>
      <c r="J61" s="1"/>
      <c r="K61" s="3"/>
    </row>
    <row r="62" spans="9:11" x14ac:dyDescent="0.25">
      <c r="I62" s="2"/>
      <c r="J62" s="1"/>
      <c r="K62" s="3"/>
    </row>
    <row r="63" spans="9:11" x14ac:dyDescent="0.25">
      <c r="I63" s="1"/>
      <c r="J63" s="1"/>
      <c r="K63" s="3"/>
    </row>
    <row r="64" spans="9:11" x14ac:dyDescent="0.25">
      <c r="I64" s="1"/>
      <c r="J64" s="1"/>
      <c r="K64" s="3">
        <f>SUM(K1:K63)</f>
        <v>0</v>
      </c>
    </row>
  </sheetData>
  <mergeCells count="3">
    <mergeCell ref="A1:G1"/>
    <mergeCell ref="A26:G26"/>
    <mergeCell ref="A32:G3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F055-98EF-43D7-A1AA-9804F74ED351}">
  <dimension ref="A1:G65"/>
  <sheetViews>
    <sheetView topLeftCell="A46" workbookViewId="0">
      <selection activeCell="C70" sqref="C70"/>
    </sheetView>
  </sheetViews>
  <sheetFormatPr defaultRowHeight="15" x14ac:dyDescent="0.25"/>
  <cols>
    <col min="2" max="2" width="12.7109375" customWidth="1"/>
    <col min="3" max="3" width="54.85546875" customWidth="1"/>
    <col min="4" max="5" width="17" customWidth="1"/>
    <col min="6" max="6" width="18" customWidth="1"/>
    <col min="7" max="7" width="13.7109375" customWidth="1"/>
  </cols>
  <sheetData>
    <row r="1" spans="1:7" x14ac:dyDescent="0.25">
      <c r="A1" s="14" t="s">
        <v>5</v>
      </c>
      <c r="B1" s="15"/>
      <c r="C1" s="15"/>
      <c r="D1" s="15"/>
      <c r="E1" s="15"/>
      <c r="F1" s="15"/>
      <c r="G1" s="16"/>
    </row>
    <row r="2" spans="1:7" x14ac:dyDescent="0.25">
      <c r="A2" s="1"/>
      <c r="B2" s="2">
        <v>46021</v>
      </c>
      <c r="C2" s="1"/>
      <c r="D2" s="1"/>
      <c r="E2" s="1"/>
      <c r="F2" s="1"/>
      <c r="G2" s="1"/>
    </row>
    <row r="3" spans="1:7" x14ac:dyDescent="0.25">
      <c r="A3" s="1" t="s">
        <v>0</v>
      </c>
      <c r="B3" s="1" t="s">
        <v>2</v>
      </c>
      <c r="C3" s="1" t="s">
        <v>1</v>
      </c>
      <c r="D3" s="1" t="s">
        <v>3</v>
      </c>
      <c r="E3" s="1" t="s">
        <v>4</v>
      </c>
      <c r="F3" s="1" t="s">
        <v>7</v>
      </c>
      <c r="G3" s="1" t="s">
        <v>8</v>
      </c>
    </row>
    <row r="4" spans="1:7" x14ac:dyDescent="0.25">
      <c r="A4" s="1"/>
      <c r="B4" s="1">
        <v>5</v>
      </c>
      <c r="C4" s="1" t="s">
        <v>21</v>
      </c>
      <c r="D4" s="3">
        <v>182.52</v>
      </c>
      <c r="E4" s="3">
        <f>D4*B4</f>
        <v>912.6</v>
      </c>
      <c r="F4" s="3">
        <v>269</v>
      </c>
      <c r="G4" s="3">
        <f>(F4-D4)*B4</f>
        <v>432.4</v>
      </c>
    </row>
    <row r="5" spans="1:7" x14ac:dyDescent="0.25">
      <c r="A5" s="1"/>
      <c r="B5" s="1">
        <v>2</v>
      </c>
      <c r="C5" s="1" t="s">
        <v>22</v>
      </c>
      <c r="D5" s="3">
        <v>182.52</v>
      </c>
      <c r="E5" s="3">
        <f t="shared" ref="E5:E19" si="0">D5*B5</f>
        <v>365.04</v>
      </c>
      <c r="F5" s="3">
        <v>369</v>
      </c>
      <c r="G5" s="3">
        <f t="shared" ref="G5:G19" si="1">(F5-D5)*B5</f>
        <v>372.96</v>
      </c>
    </row>
    <row r="6" spans="1:7" x14ac:dyDescent="0.25">
      <c r="A6" s="1"/>
      <c r="B6" s="1">
        <v>5</v>
      </c>
      <c r="C6" s="1" t="s">
        <v>10</v>
      </c>
      <c r="D6" s="3">
        <v>246.41</v>
      </c>
      <c r="E6" s="3">
        <f t="shared" si="0"/>
        <v>1232.05</v>
      </c>
      <c r="F6" s="3">
        <v>369</v>
      </c>
      <c r="G6" s="3">
        <f t="shared" si="1"/>
        <v>612.95000000000005</v>
      </c>
    </row>
    <row r="7" spans="1:7" x14ac:dyDescent="0.25">
      <c r="A7" s="1"/>
      <c r="B7" s="1">
        <v>4</v>
      </c>
      <c r="C7" s="1" t="s">
        <v>23</v>
      </c>
      <c r="D7" s="3">
        <v>246.41</v>
      </c>
      <c r="E7" s="3">
        <f t="shared" si="0"/>
        <v>985.64</v>
      </c>
      <c r="F7" s="3">
        <v>369</v>
      </c>
      <c r="G7" s="3">
        <f t="shared" si="1"/>
        <v>490.36</v>
      </c>
    </row>
    <row r="8" spans="1:7" x14ac:dyDescent="0.25">
      <c r="A8" s="1"/>
      <c r="B8" s="1">
        <v>2</v>
      </c>
      <c r="C8" s="1" t="s">
        <v>24</v>
      </c>
      <c r="D8" s="3">
        <v>246.41</v>
      </c>
      <c r="E8" s="3">
        <f t="shared" si="0"/>
        <v>492.82</v>
      </c>
      <c r="F8" s="3">
        <v>369</v>
      </c>
      <c r="G8" s="3">
        <f t="shared" si="1"/>
        <v>245.18</v>
      </c>
    </row>
    <row r="9" spans="1:7" x14ac:dyDescent="0.25">
      <c r="A9" s="1"/>
      <c r="B9" s="1">
        <v>3</v>
      </c>
      <c r="C9" s="1" t="s">
        <v>25</v>
      </c>
      <c r="D9" s="3">
        <v>136.9</v>
      </c>
      <c r="E9" s="3">
        <f t="shared" si="0"/>
        <v>410.70000000000005</v>
      </c>
      <c r="F9" s="3">
        <v>189</v>
      </c>
      <c r="G9" s="3">
        <f t="shared" si="1"/>
        <v>156.29999999999998</v>
      </c>
    </row>
    <row r="10" spans="1:7" x14ac:dyDescent="0.25">
      <c r="A10" s="1"/>
      <c r="B10" s="1">
        <v>3</v>
      </c>
      <c r="C10" s="1" t="s">
        <v>26</v>
      </c>
      <c r="D10" s="3">
        <v>136.9</v>
      </c>
      <c r="E10" s="3">
        <f t="shared" si="0"/>
        <v>410.70000000000005</v>
      </c>
      <c r="F10" s="3">
        <v>189</v>
      </c>
      <c r="G10" s="3">
        <f t="shared" si="1"/>
        <v>156.29999999999998</v>
      </c>
    </row>
    <row r="11" spans="1:7" x14ac:dyDescent="0.25">
      <c r="A11" s="1"/>
      <c r="B11" s="1">
        <v>5</v>
      </c>
      <c r="C11" s="1" t="s">
        <v>27</v>
      </c>
      <c r="D11" s="3">
        <v>162.44999999999999</v>
      </c>
      <c r="E11" s="3">
        <f t="shared" si="0"/>
        <v>812.25</v>
      </c>
      <c r="F11" s="3">
        <v>239</v>
      </c>
      <c r="G11" s="3">
        <f t="shared" si="1"/>
        <v>382.75000000000006</v>
      </c>
    </row>
    <row r="12" spans="1:7" x14ac:dyDescent="0.25">
      <c r="B12" s="1">
        <v>2</v>
      </c>
      <c r="C12" s="1" t="s">
        <v>28</v>
      </c>
      <c r="D12" s="3">
        <v>805.09</v>
      </c>
      <c r="E12" s="3">
        <f t="shared" si="0"/>
        <v>1610.18</v>
      </c>
      <c r="F12" s="8">
        <v>1200</v>
      </c>
      <c r="G12" s="8">
        <f t="shared" si="1"/>
        <v>789.81999999999994</v>
      </c>
    </row>
    <row r="13" spans="1:7" x14ac:dyDescent="0.25">
      <c r="A13" s="1"/>
      <c r="B13" s="1">
        <v>1</v>
      </c>
      <c r="C13" s="1" t="s">
        <v>29</v>
      </c>
      <c r="D13" s="3">
        <v>764.35</v>
      </c>
      <c r="E13" s="3">
        <f t="shared" si="0"/>
        <v>764.35</v>
      </c>
      <c r="F13" s="1">
        <v>1200</v>
      </c>
      <c r="G13" s="1">
        <f t="shared" si="1"/>
        <v>435.65</v>
      </c>
    </row>
    <row r="14" spans="1:7" x14ac:dyDescent="0.25">
      <c r="A14" s="1"/>
      <c r="B14" s="1">
        <v>1</v>
      </c>
      <c r="C14" s="1" t="s">
        <v>30</v>
      </c>
      <c r="D14" s="3">
        <v>764.35</v>
      </c>
      <c r="E14" s="3">
        <f t="shared" si="0"/>
        <v>764.35</v>
      </c>
      <c r="F14" s="1">
        <v>1200</v>
      </c>
      <c r="G14" s="1">
        <f t="shared" si="1"/>
        <v>435.65</v>
      </c>
    </row>
    <row r="15" spans="1:7" x14ac:dyDescent="0.25">
      <c r="A15" s="1"/>
      <c r="B15" s="1">
        <v>3</v>
      </c>
      <c r="C15" s="1" t="s">
        <v>33</v>
      </c>
      <c r="D15" s="3">
        <v>194.61</v>
      </c>
      <c r="E15" s="3">
        <f t="shared" si="0"/>
        <v>583.83000000000004</v>
      </c>
      <c r="F15" s="3">
        <v>289</v>
      </c>
      <c r="G15" s="3">
        <f t="shared" si="1"/>
        <v>283.16999999999996</v>
      </c>
    </row>
    <row r="16" spans="1:7" x14ac:dyDescent="0.25">
      <c r="A16" s="1"/>
      <c r="B16" s="1">
        <v>2</v>
      </c>
      <c r="C16" s="1" t="s">
        <v>32</v>
      </c>
      <c r="D16" s="3">
        <v>260.37</v>
      </c>
      <c r="E16" s="3">
        <f t="shared" si="0"/>
        <v>520.74</v>
      </c>
      <c r="F16" s="3">
        <v>389</v>
      </c>
      <c r="G16" s="3">
        <f t="shared" si="1"/>
        <v>257.26</v>
      </c>
    </row>
    <row r="17" spans="1:7" x14ac:dyDescent="0.25">
      <c r="A17" s="1"/>
      <c r="B17" s="1"/>
      <c r="C17" s="1"/>
      <c r="D17" s="3"/>
      <c r="E17" s="3">
        <f t="shared" si="0"/>
        <v>0</v>
      </c>
      <c r="F17" s="3"/>
      <c r="G17" s="3">
        <f t="shared" si="1"/>
        <v>0</v>
      </c>
    </row>
    <row r="18" spans="1:7" x14ac:dyDescent="0.25">
      <c r="A18" s="1"/>
      <c r="B18" s="7">
        <v>3</v>
      </c>
      <c r="C18" s="7" t="s">
        <v>31</v>
      </c>
      <c r="D18" s="8">
        <v>260.37</v>
      </c>
      <c r="E18" s="3">
        <f t="shared" si="0"/>
        <v>781.11</v>
      </c>
      <c r="F18" s="3">
        <v>389</v>
      </c>
      <c r="G18" s="3">
        <f t="shared" si="1"/>
        <v>385.89</v>
      </c>
    </row>
    <row r="19" spans="1:7" x14ac:dyDescent="0.25">
      <c r="A19" s="1"/>
      <c r="B19" s="1">
        <v>2</v>
      </c>
      <c r="C19" s="1" t="s">
        <v>34</v>
      </c>
      <c r="D19" s="3">
        <v>191.63</v>
      </c>
      <c r="E19" s="3">
        <f t="shared" si="0"/>
        <v>383.26</v>
      </c>
      <c r="F19" s="8">
        <v>269</v>
      </c>
      <c r="G19" s="8">
        <f t="shared" si="1"/>
        <v>154.74</v>
      </c>
    </row>
    <row r="20" spans="1:7" x14ac:dyDescent="0.25">
      <c r="B20" s="1">
        <v>3</v>
      </c>
      <c r="C20" s="1" t="s">
        <v>35</v>
      </c>
      <c r="D20" s="3">
        <v>191.63</v>
      </c>
      <c r="E20" s="3">
        <f t="shared" ref="E20:E28" si="2">D20*B20</f>
        <v>574.89</v>
      </c>
      <c r="F20" s="8">
        <v>269</v>
      </c>
      <c r="G20" s="8">
        <f t="shared" ref="G20:G28" si="3">(F20-D20)*B20</f>
        <v>232.11</v>
      </c>
    </row>
    <row r="21" spans="1:7" x14ac:dyDescent="0.25">
      <c r="A21" s="1"/>
      <c r="B21" s="1">
        <v>2</v>
      </c>
      <c r="C21" s="1" t="s">
        <v>36</v>
      </c>
      <c r="D21" s="3">
        <v>837.74</v>
      </c>
      <c r="E21" s="3">
        <f t="shared" si="2"/>
        <v>1675.48</v>
      </c>
      <c r="F21" s="1">
        <v>1600</v>
      </c>
      <c r="G21" s="1">
        <f t="shared" si="3"/>
        <v>1524.52</v>
      </c>
    </row>
    <row r="22" spans="1:7" x14ac:dyDescent="0.25">
      <c r="A22" s="1"/>
      <c r="B22" s="1">
        <v>2</v>
      </c>
      <c r="C22" s="1" t="s">
        <v>37</v>
      </c>
      <c r="D22" s="3">
        <v>847.18</v>
      </c>
      <c r="E22" s="3">
        <f t="shared" si="2"/>
        <v>1694.36</v>
      </c>
      <c r="F22" s="1">
        <v>1600</v>
      </c>
      <c r="G22" s="1">
        <f t="shared" si="3"/>
        <v>1505.64</v>
      </c>
    </row>
    <row r="23" spans="1:7" x14ac:dyDescent="0.25">
      <c r="A23" s="1"/>
      <c r="B23" s="1">
        <v>2</v>
      </c>
      <c r="C23" s="1" t="s">
        <v>38</v>
      </c>
      <c r="D23" s="3">
        <v>346.62</v>
      </c>
      <c r="E23" s="3">
        <f t="shared" si="2"/>
        <v>693.24</v>
      </c>
      <c r="F23" s="3">
        <v>499</v>
      </c>
      <c r="G23" s="3">
        <f t="shared" si="3"/>
        <v>304.76</v>
      </c>
    </row>
    <row r="24" spans="1:7" x14ac:dyDescent="0.25">
      <c r="A24" s="1"/>
      <c r="B24" s="1">
        <v>2</v>
      </c>
      <c r="C24" s="1" t="s">
        <v>39</v>
      </c>
      <c r="D24" s="3">
        <v>269.64</v>
      </c>
      <c r="E24" s="3">
        <f t="shared" si="2"/>
        <v>539.28</v>
      </c>
      <c r="F24" s="3">
        <v>399</v>
      </c>
      <c r="G24" s="3">
        <f t="shared" si="3"/>
        <v>258.72000000000003</v>
      </c>
    </row>
    <row r="25" spans="1:7" x14ac:dyDescent="0.25">
      <c r="A25" s="1"/>
      <c r="B25" s="1">
        <v>2</v>
      </c>
      <c r="C25" s="1" t="s">
        <v>40</v>
      </c>
      <c r="D25" s="3">
        <v>254.66</v>
      </c>
      <c r="E25" s="3">
        <f t="shared" si="2"/>
        <v>509.32</v>
      </c>
      <c r="F25" s="3">
        <v>385</v>
      </c>
      <c r="G25" s="3">
        <f t="shared" si="3"/>
        <v>260.68</v>
      </c>
    </row>
    <row r="26" spans="1:7" x14ac:dyDescent="0.25">
      <c r="A26" s="1"/>
      <c r="B26" s="7">
        <v>1</v>
      </c>
      <c r="C26" s="7" t="s">
        <v>41</v>
      </c>
      <c r="D26" s="8">
        <v>254.66</v>
      </c>
      <c r="E26" s="3">
        <f t="shared" si="2"/>
        <v>254.66</v>
      </c>
      <c r="F26" s="3">
        <v>385</v>
      </c>
      <c r="G26" s="3">
        <f t="shared" si="3"/>
        <v>130.34</v>
      </c>
    </row>
    <row r="27" spans="1:7" x14ac:dyDescent="0.25">
      <c r="A27" s="1"/>
      <c r="B27" s="1">
        <v>2</v>
      </c>
      <c r="C27" s="1" t="s">
        <v>42</v>
      </c>
      <c r="D27" s="3">
        <v>254.66</v>
      </c>
      <c r="E27" s="3">
        <f t="shared" si="2"/>
        <v>509.32</v>
      </c>
      <c r="F27" s="8">
        <v>385</v>
      </c>
      <c r="G27" s="8">
        <f t="shared" si="3"/>
        <v>260.68</v>
      </c>
    </row>
    <row r="28" spans="1:7" x14ac:dyDescent="0.25">
      <c r="B28" s="7">
        <v>5</v>
      </c>
      <c r="C28" s="7" t="s">
        <v>43</v>
      </c>
      <c r="D28" s="8">
        <v>215.02</v>
      </c>
      <c r="E28" s="8">
        <f t="shared" si="2"/>
        <v>1075.1000000000001</v>
      </c>
      <c r="F28" s="8">
        <v>329</v>
      </c>
      <c r="G28" s="8">
        <f t="shared" si="3"/>
        <v>569.9</v>
      </c>
    </row>
    <row r="29" spans="1:7" x14ac:dyDescent="0.25">
      <c r="A29" s="1"/>
      <c r="B29" s="1"/>
      <c r="C29" s="1"/>
      <c r="D29" s="3"/>
      <c r="E29" s="3">
        <f t="shared" ref="E29:E34" si="4">D29*B29</f>
        <v>0</v>
      </c>
      <c r="F29" s="1"/>
      <c r="G29" s="1">
        <f t="shared" ref="G29:G34" si="5">(F29-D29)*B29</f>
        <v>0</v>
      </c>
    </row>
    <row r="30" spans="1:7" x14ac:dyDescent="0.25">
      <c r="A30" s="1"/>
      <c r="B30" s="1">
        <v>2</v>
      </c>
      <c r="C30" s="1" t="s">
        <v>44</v>
      </c>
      <c r="D30" s="3">
        <v>267.95</v>
      </c>
      <c r="E30" s="3">
        <f t="shared" si="4"/>
        <v>535.9</v>
      </c>
      <c r="F30" s="1">
        <v>399</v>
      </c>
      <c r="G30" s="1">
        <f t="shared" si="5"/>
        <v>262.10000000000002</v>
      </c>
    </row>
    <row r="31" spans="1:7" x14ac:dyDescent="0.25">
      <c r="A31" s="1"/>
      <c r="B31" s="1"/>
      <c r="C31" s="1"/>
      <c r="D31" s="3"/>
      <c r="E31" s="3">
        <f t="shared" si="4"/>
        <v>0</v>
      </c>
      <c r="F31" s="3"/>
      <c r="G31" s="3">
        <f t="shared" si="5"/>
        <v>0</v>
      </c>
    </row>
    <row r="32" spans="1:7" x14ac:dyDescent="0.25">
      <c r="A32" s="1"/>
      <c r="B32" s="1"/>
      <c r="C32" s="1"/>
      <c r="D32" s="3"/>
      <c r="E32" s="3">
        <f t="shared" si="4"/>
        <v>0</v>
      </c>
      <c r="F32" s="3"/>
      <c r="G32" s="3">
        <f t="shared" si="5"/>
        <v>0</v>
      </c>
    </row>
    <row r="33" spans="1:7" x14ac:dyDescent="0.25">
      <c r="A33" s="1"/>
      <c r="B33" s="1"/>
      <c r="C33" s="1"/>
      <c r="D33" s="3"/>
      <c r="E33" s="3">
        <f t="shared" si="4"/>
        <v>0</v>
      </c>
      <c r="F33" s="3"/>
      <c r="G33" s="3">
        <f t="shared" si="5"/>
        <v>0</v>
      </c>
    </row>
    <row r="34" spans="1:7" x14ac:dyDescent="0.25">
      <c r="A34" s="1"/>
      <c r="B34" s="7"/>
      <c r="C34" s="7"/>
      <c r="D34" s="8"/>
      <c r="E34" s="3">
        <f t="shared" si="4"/>
        <v>0</v>
      </c>
      <c r="F34" s="3"/>
      <c r="G34" s="3">
        <f t="shared" si="5"/>
        <v>0</v>
      </c>
    </row>
    <row r="35" spans="1:7" x14ac:dyDescent="0.25">
      <c r="A35" s="1"/>
      <c r="B35" s="1"/>
      <c r="C35" s="1"/>
      <c r="D35" s="3"/>
      <c r="E35" s="3"/>
    </row>
    <row r="36" spans="1:7" x14ac:dyDescent="0.25">
      <c r="B36" s="7"/>
      <c r="C36" s="7"/>
      <c r="D36" s="8"/>
      <c r="E36" s="4">
        <f>SUM(E4:E35)</f>
        <v>19091.170000000002</v>
      </c>
      <c r="G36" s="4">
        <f>SUM(G4:G35)</f>
        <v>10900.83</v>
      </c>
    </row>
    <row r="37" spans="1:7" x14ac:dyDescent="0.25">
      <c r="A37" t="s">
        <v>45</v>
      </c>
    </row>
    <row r="38" spans="1:7" x14ac:dyDescent="0.25">
      <c r="A38" t="s">
        <v>46</v>
      </c>
    </row>
    <row r="40" spans="1:7" x14ac:dyDescent="0.25">
      <c r="A40" s="14" t="s">
        <v>5</v>
      </c>
      <c r="B40" s="15"/>
      <c r="C40" s="15"/>
      <c r="D40" s="15"/>
      <c r="E40" s="15"/>
      <c r="F40" s="15"/>
      <c r="G40" s="16"/>
    </row>
    <row r="41" spans="1:7" x14ac:dyDescent="0.25">
      <c r="A41" s="1"/>
      <c r="B41" s="2">
        <v>46034</v>
      </c>
      <c r="C41" s="1"/>
      <c r="D41" s="1"/>
      <c r="E41" s="1"/>
      <c r="F41" s="1"/>
      <c r="G41" s="1"/>
    </row>
    <row r="42" spans="1:7" x14ac:dyDescent="0.25">
      <c r="A42" s="1" t="s">
        <v>0</v>
      </c>
      <c r="B42" s="1" t="s">
        <v>2</v>
      </c>
      <c r="C42" s="1" t="s">
        <v>1</v>
      </c>
      <c r="D42" s="1" t="s">
        <v>3</v>
      </c>
      <c r="E42" s="1" t="s">
        <v>4</v>
      </c>
      <c r="F42" s="1" t="s">
        <v>7</v>
      </c>
      <c r="G42" s="1" t="s">
        <v>8</v>
      </c>
    </row>
    <row r="43" spans="1:7" x14ac:dyDescent="0.25">
      <c r="A43" s="1"/>
      <c r="B43" s="1">
        <v>3</v>
      </c>
      <c r="C43" s="1" t="s">
        <v>47</v>
      </c>
      <c r="D43" s="3">
        <v>253.67</v>
      </c>
      <c r="E43" s="3">
        <f>D43*B43</f>
        <v>761.01</v>
      </c>
      <c r="F43" s="3">
        <v>379</v>
      </c>
      <c r="G43" s="3">
        <f>(F43-D43)*B43</f>
        <v>375.99</v>
      </c>
    </row>
    <row r="44" spans="1:7" x14ac:dyDescent="0.25">
      <c r="A44" s="1"/>
      <c r="B44" s="1">
        <v>3</v>
      </c>
      <c r="C44" s="1" t="s">
        <v>48</v>
      </c>
      <c r="D44" s="3">
        <v>253.67</v>
      </c>
      <c r="E44" s="3">
        <f t="shared" ref="E44:E57" si="6">D44*B44</f>
        <v>761.01</v>
      </c>
      <c r="F44" s="3">
        <v>379</v>
      </c>
      <c r="G44" s="3">
        <f t="shared" ref="G44:G57" si="7">(F44-D44)*B44</f>
        <v>375.99</v>
      </c>
    </row>
    <row r="45" spans="1:7" x14ac:dyDescent="0.25">
      <c r="A45" s="1"/>
      <c r="B45" s="1">
        <v>3</v>
      </c>
      <c r="C45" s="1" t="s">
        <v>49</v>
      </c>
      <c r="D45" s="3">
        <v>253.67</v>
      </c>
      <c r="E45" s="3">
        <f t="shared" si="6"/>
        <v>761.01</v>
      </c>
      <c r="F45" s="3">
        <v>379</v>
      </c>
      <c r="G45" s="3">
        <f t="shared" si="7"/>
        <v>375.99</v>
      </c>
    </row>
    <row r="46" spans="1:7" x14ac:dyDescent="0.25">
      <c r="A46" s="1"/>
      <c r="B46" s="1">
        <v>3</v>
      </c>
      <c r="C46" s="1" t="s">
        <v>23</v>
      </c>
      <c r="D46" s="3">
        <v>246.37</v>
      </c>
      <c r="E46" s="3">
        <f t="shared" si="6"/>
        <v>739.11</v>
      </c>
      <c r="F46" s="3">
        <v>369</v>
      </c>
      <c r="G46" s="3">
        <f t="shared" si="7"/>
        <v>367.89</v>
      </c>
    </row>
    <row r="47" spans="1:7" x14ac:dyDescent="0.25">
      <c r="A47" s="1"/>
      <c r="B47" s="1">
        <v>2</v>
      </c>
      <c r="C47" s="1" t="s">
        <v>50</v>
      </c>
      <c r="D47" s="3">
        <v>254.63</v>
      </c>
      <c r="E47" s="3">
        <f t="shared" si="6"/>
        <v>509.26</v>
      </c>
      <c r="F47" s="3">
        <v>385</v>
      </c>
      <c r="G47" s="3">
        <f t="shared" si="7"/>
        <v>260.74</v>
      </c>
    </row>
    <row r="48" spans="1:7" x14ac:dyDescent="0.25">
      <c r="A48" s="1"/>
      <c r="B48" s="1">
        <v>1</v>
      </c>
      <c r="C48" s="1" t="s">
        <v>51</v>
      </c>
      <c r="D48" s="3">
        <v>254.63</v>
      </c>
      <c r="E48" s="3">
        <f t="shared" si="6"/>
        <v>254.63</v>
      </c>
      <c r="F48" s="3">
        <v>385</v>
      </c>
      <c r="G48" s="3">
        <f t="shared" si="7"/>
        <v>130.37</v>
      </c>
    </row>
    <row r="49" spans="1:7" x14ac:dyDescent="0.25">
      <c r="A49" s="1"/>
      <c r="B49" s="1">
        <v>2</v>
      </c>
      <c r="C49" s="1" t="s">
        <v>52</v>
      </c>
      <c r="D49" s="3">
        <v>239.87</v>
      </c>
      <c r="E49" s="3">
        <f t="shared" si="6"/>
        <v>479.74</v>
      </c>
      <c r="F49" s="3">
        <v>350</v>
      </c>
      <c r="G49" s="3">
        <f t="shared" si="7"/>
        <v>220.26</v>
      </c>
    </row>
    <row r="50" spans="1:7" x14ac:dyDescent="0.25">
      <c r="A50" s="1"/>
      <c r="B50" s="1">
        <v>2</v>
      </c>
      <c r="C50" s="1" t="s">
        <v>53</v>
      </c>
      <c r="D50" s="3">
        <v>239.87</v>
      </c>
      <c r="E50" s="3">
        <f t="shared" si="6"/>
        <v>479.74</v>
      </c>
      <c r="F50" s="3">
        <v>350</v>
      </c>
      <c r="G50" s="3">
        <f t="shared" si="7"/>
        <v>220.26</v>
      </c>
    </row>
    <row r="51" spans="1:7" x14ac:dyDescent="0.25">
      <c r="B51" s="1">
        <v>1</v>
      </c>
      <c r="C51" s="1" t="s">
        <v>54</v>
      </c>
      <c r="D51" s="3">
        <v>239.87</v>
      </c>
      <c r="E51" s="3">
        <f t="shared" si="6"/>
        <v>239.87</v>
      </c>
      <c r="F51" s="3">
        <v>350</v>
      </c>
      <c r="G51" s="3">
        <f t="shared" si="7"/>
        <v>110.13</v>
      </c>
    </row>
    <row r="52" spans="1:7" x14ac:dyDescent="0.25">
      <c r="A52" s="1"/>
      <c r="B52" s="1">
        <v>2</v>
      </c>
      <c r="C52" s="1" t="s">
        <v>66</v>
      </c>
      <c r="D52" s="3">
        <v>260.37</v>
      </c>
      <c r="E52" s="3">
        <f t="shared" si="6"/>
        <v>520.74</v>
      </c>
      <c r="F52" s="3">
        <v>389</v>
      </c>
      <c r="G52" s="3">
        <f t="shared" si="7"/>
        <v>257.26</v>
      </c>
    </row>
    <row r="53" spans="1:7" x14ac:dyDescent="0.25">
      <c r="A53" s="1"/>
      <c r="B53" s="1"/>
      <c r="C53" s="1"/>
      <c r="D53" s="3"/>
      <c r="E53" s="3">
        <f t="shared" si="6"/>
        <v>0</v>
      </c>
      <c r="F53" s="3">
        <v>399</v>
      </c>
      <c r="G53" s="3">
        <f t="shared" si="7"/>
        <v>0</v>
      </c>
    </row>
    <row r="54" spans="1:7" x14ac:dyDescent="0.25">
      <c r="A54" s="1"/>
      <c r="B54" s="1">
        <v>5</v>
      </c>
      <c r="C54" s="1" t="s">
        <v>18</v>
      </c>
      <c r="D54" s="3">
        <v>192.72</v>
      </c>
      <c r="E54" s="3">
        <f t="shared" si="6"/>
        <v>963.6</v>
      </c>
      <c r="F54" s="3">
        <v>279</v>
      </c>
      <c r="G54" s="3">
        <f t="shared" si="7"/>
        <v>431.4</v>
      </c>
    </row>
    <row r="55" spans="1:7" x14ac:dyDescent="0.25">
      <c r="A55" s="1"/>
      <c r="B55" s="7"/>
      <c r="C55" s="7"/>
      <c r="D55" s="8"/>
      <c r="E55" s="3">
        <f t="shared" si="6"/>
        <v>0</v>
      </c>
      <c r="F55" s="3"/>
      <c r="G55" s="3">
        <f t="shared" si="7"/>
        <v>0</v>
      </c>
    </row>
    <row r="56" spans="1:7" x14ac:dyDescent="0.25">
      <c r="A56" s="1"/>
      <c r="B56" s="1"/>
      <c r="C56" s="1"/>
      <c r="D56" s="3"/>
      <c r="E56" s="3">
        <f t="shared" si="6"/>
        <v>0</v>
      </c>
      <c r="F56" s="3"/>
      <c r="G56" s="3">
        <f t="shared" si="7"/>
        <v>0</v>
      </c>
    </row>
    <row r="57" spans="1:7" x14ac:dyDescent="0.25">
      <c r="B57" s="7"/>
      <c r="C57" s="7"/>
      <c r="D57" s="8"/>
      <c r="E57" s="3">
        <f t="shared" si="6"/>
        <v>0</v>
      </c>
      <c r="F57" s="3"/>
      <c r="G57" s="3">
        <f t="shared" si="7"/>
        <v>0</v>
      </c>
    </row>
    <row r="58" spans="1:7" x14ac:dyDescent="0.25">
      <c r="A58" t="s">
        <v>69</v>
      </c>
      <c r="E58" s="4">
        <f>SUM(E43:E57)</f>
        <v>6469.7199999999993</v>
      </c>
    </row>
    <row r="60" spans="1:7" x14ac:dyDescent="0.25">
      <c r="A60" s="1"/>
      <c r="B60" s="2">
        <v>46034</v>
      </c>
      <c r="C60" s="1"/>
      <c r="D60" s="1"/>
      <c r="E60" s="1"/>
      <c r="F60" s="1"/>
      <c r="G60" s="1"/>
    </row>
    <row r="61" spans="1:7" x14ac:dyDescent="0.25">
      <c r="A61" s="1" t="s">
        <v>0</v>
      </c>
      <c r="B61" s="1" t="s">
        <v>2</v>
      </c>
      <c r="C61" s="1" t="s">
        <v>1</v>
      </c>
      <c r="D61" s="1" t="s">
        <v>3</v>
      </c>
      <c r="E61" s="1" t="s">
        <v>4</v>
      </c>
      <c r="F61" s="1" t="s">
        <v>7</v>
      </c>
      <c r="G61" s="1" t="s">
        <v>8</v>
      </c>
    </row>
    <row r="62" spans="1:7" x14ac:dyDescent="0.25">
      <c r="A62" s="1"/>
      <c r="B62" s="1">
        <v>1</v>
      </c>
      <c r="C62" s="1" t="s">
        <v>67</v>
      </c>
      <c r="D62" s="3">
        <v>269</v>
      </c>
      <c r="E62" s="3">
        <f>D62*B62</f>
        <v>269</v>
      </c>
      <c r="F62" s="3">
        <v>399</v>
      </c>
      <c r="G62" s="3">
        <f>(F62-D62)*B62</f>
        <v>130</v>
      </c>
    </row>
    <row r="63" spans="1:7" x14ac:dyDescent="0.25">
      <c r="A63" s="1"/>
      <c r="B63" s="1">
        <v>1</v>
      </c>
      <c r="C63" s="1" t="s">
        <v>68</v>
      </c>
      <c r="D63" s="3">
        <v>269</v>
      </c>
      <c r="E63" s="3">
        <f t="shared" ref="E63" si="8">D63*B63</f>
        <v>269</v>
      </c>
      <c r="F63" s="3">
        <v>399</v>
      </c>
      <c r="G63" s="3">
        <f t="shared" ref="G63" si="9">(F63-D63)*B63</f>
        <v>130</v>
      </c>
    </row>
    <row r="65" spans="1:1" x14ac:dyDescent="0.25">
      <c r="A65" t="s">
        <v>70</v>
      </c>
    </row>
  </sheetData>
  <mergeCells count="2">
    <mergeCell ref="A1:G1"/>
    <mergeCell ref="A40:G4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2797-2070-4580-B959-6F8CB9B7CD47}">
  <dimension ref="A1:K64"/>
  <sheetViews>
    <sheetView tabSelected="1" topLeftCell="A16" workbookViewId="0">
      <selection activeCell="A26" sqref="A26"/>
    </sheetView>
  </sheetViews>
  <sheetFormatPr defaultRowHeight="15" x14ac:dyDescent="0.25"/>
  <cols>
    <col min="1" max="1" width="21.28515625" customWidth="1"/>
    <col min="2" max="2" width="15.28515625" customWidth="1"/>
    <col min="3" max="3" width="38.140625" customWidth="1"/>
    <col min="4" max="4" width="18.85546875" customWidth="1"/>
    <col min="5" max="5" width="12.85546875" customWidth="1"/>
    <col min="6" max="6" width="13.140625" customWidth="1"/>
    <col min="7" max="7" width="13.28515625" customWidth="1"/>
    <col min="9" max="9" width="15.7109375" customWidth="1"/>
    <col min="10" max="10" width="23.28515625" customWidth="1"/>
    <col min="11" max="11" width="19.7109375" customWidth="1"/>
  </cols>
  <sheetData>
    <row r="1" spans="1:11" x14ac:dyDescent="0.25">
      <c r="A1" s="14" t="s">
        <v>5</v>
      </c>
      <c r="B1" s="15"/>
      <c r="C1" s="15"/>
      <c r="D1" s="15"/>
      <c r="E1" s="15"/>
      <c r="F1" s="15"/>
      <c r="G1" s="16"/>
      <c r="I1" s="1" t="s">
        <v>6</v>
      </c>
      <c r="J1" s="1" t="s">
        <v>16</v>
      </c>
      <c r="K1" s="1"/>
    </row>
    <row r="2" spans="1:11" x14ac:dyDescent="0.25">
      <c r="A2" s="1"/>
      <c r="B2" s="2" t="s">
        <v>11</v>
      </c>
      <c r="C2" s="1" t="s">
        <v>12</v>
      </c>
      <c r="D2" s="1"/>
      <c r="E2" s="1"/>
      <c r="F2" s="1"/>
      <c r="G2" s="1"/>
      <c r="I2" s="2"/>
      <c r="J2" s="1"/>
      <c r="K2" s="3"/>
    </row>
    <row r="3" spans="1:11" x14ac:dyDescent="0.25">
      <c r="A3" s="1" t="s">
        <v>0</v>
      </c>
      <c r="B3" s="1" t="s">
        <v>2</v>
      </c>
      <c r="C3" s="1" t="s">
        <v>1</v>
      </c>
      <c r="D3" s="1" t="s">
        <v>3</v>
      </c>
      <c r="E3" s="1" t="s">
        <v>4</v>
      </c>
      <c r="F3" s="1" t="s">
        <v>7</v>
      </c>
      <c r="G3" s="1" t="s">
        <v>8</v>
      </c>
      <c r="I3" s="2"/>
      <c r="J3" s="1"/>
      <c r="K3" s="3"/>
    </row>
    <row r="4" spans="1:11" x14ac:dyDescent="0.25">
      <c r="A4" s="9"/>
      <c r="B4" s="9">
        <v>2</v>
      </c>
      <c r="C4" s="9" t="s">
        <v>13</v>
      </c>
      <c r="D4" s="10">
        <v>139</v>
      </c>
      <c r="E4" s="10">
        <f>D4*B4</f>
        <v>278</v>
      </c>
      <c r="F4" s="10">
        <v>199</v>
      </c>
      <c r="G4" s="10">
        <f>(F4-D4)*B4</f>
        <v>120</v>
      </c>
      <c r="I4" s="2"/>
      <c r="J4" s="1"/>
      <c r="K4" s="3"/>
    </row>
    <row r="5" spans="1:11" x14ac:dyDescent="0.25">
      <c r="A5" s="9"/>
      <c r="B5" s="9">
        <v>4</v>
      </c>
      <c r="C5" s="9" t="s">
        <v>55</v>
      </c>
      <c r="D5" s="10">
        <v>199</v>
      </c>
      <c r="E5" s="10">
        <f t="shared" ref="E5:E22" si="0">D5*B5</f>
        <v>796</v>
      </c>
      <c r="F5" s="10">
        <v>199</v>
      </c>
      <c r="G5" s="10">
        <f t="shared" ref="G5:G22" si="1">(F5-D5)*B5</f>
        <v>0</v>
      </c>
      <c r="I5" s="2"/>
      <c r="J5" s="1"/>
      <c r="K5" s="3"/>
    </row>
    <row r="6" spans="1:11" x14ac:dyDescent="0.25">
      <c r="A6" s="9"/>
      <c r="B6" s="9">
        <v>2</v>
      </c>
      <c r="C6" s="9" t="s">
        <v>14</v>
      </c>
      <c r="D6" s="10">
        <v>199</v>
      </c>
      <c r="E6" s="10">
        <f t="shared" si="0"/>
        <v>398</v>
      </c>
      <c r="F6" s="10">
        <v>289</v>
      </c>
      <c r="G6" s="10">
        <f t="shared" si="1"/>
        <v>180</v>
      </c>
      <c r="I6" s="2"/>
      <c r="J6" s="1"/>
      <c r="K6" s="3"/>
    </row>
    <row r="7" spans="1:11" x14ac:dyDescent="0.25">
      <c r="A7" s="9"/>
      <c r="B7" s="9">
        <v>3</v>
      </c>
      <c r="C7" s="9" t="s">
        <v>56</v>
      </c>
      <c r="D7" s="10">
        <v>269</v>
      </c>
      <c r="E7" s="10">
        <f t="shared" si="0"/>
        <v>807</v>
      </c>
      <c r="F7" s="10">
        <v>399</v>
      </c>
      <c r="G7" s="10">
        <f t="shared" si="1"/>
        <v>390</v>
      </c>
      <c r="I7" s="2"/>
      <c r="J7" s="1"/>
      <c r="K7" s="3"/>
    </row>
    <row r="8" spans="1:11" x14ac:dyDescent="0.25">
      <c r="A8" s="9"/>
      <c r="B8" s="9">
        <v>3</v>
      </c>
      <c r="C8" s="9" t="s">
        <v>57</v>
      </c>
      <c r="D8" s="10">
        <v>269</v>
      </c>
      <c r="E8" s="10">
        <f t="shared" si="0"/>
        <v>807</v>
      </c>
      <c r="F8" s="10">
        <v>399</v>
      </c>
      <c r="G8" s="10">
        <f t="shared" si="1"/>
        <v>390</v>
      </c>
      <c r="I8" s="2"/>
      <c r="J8" s="1"/>
      <c r="K8" s="3"/>
    </row>
    <row r="9" spans="1:11" x14ac:dyDescent="0.25">
      <c r="A9" s="9"/>
      <c r="B9" s="9">
        <v>2</v>
      </c>
      <c r="C9" s="9" t="s">
        <v>58</v>
      </c>
      <c r="D9" s="10">
        <v>230</v>
      </c>
      <c r="E9" s="10">
        <f t="shared" si="0"/>
        <v>460</v>
      </c>
      <c r="F9" s="10">
        <v>350</v>
      </c>
      <c r="G9" s="10"/>
      <c r="I9" s="2"/>
      <c r="J9" s="1"/>
      <c r="K9" s="3"/>
    </row>
    <row r="10" spans="1:11" x14ac:dyDescent="0.25">
      <c r="A10" s="9"/>
      <c r="B10" s="9">
        <v>2</v>
      </c>
      <c r="C10" s="9" t="s">
        <v>59</v>
      </c>
      <c r="D10" s="10">
        <v>230</v>
      </c>
      <c r="E10" s="10">
        <f t="shared" si="0"/>
        <v>460</v>
      </c>
      <c r="F10" s="10">
        <v>390</v>
      </c>
      <c r="G10" s="10"/>
      <c r="I10" s="2"/>
      <c r="J10" s="1"/>
      <c r="K10" s="3"/>
    </row>
    <row r="11" spans="1:11" x14ac:dyDescent="0.25">
      <c r="A11" s="9" t="s">
        <v>17</v>
      </c>
      <c r="B11" s="9">
        <v>2</v>
      </c>
      <c r="C11" s="9" t="s">
        <v>60</v>
      </c>
      <c r="D11" s="10">
        <v>335</v>
      </c>
      <c r="E11" s="10">
        <f t="shared" si="0"/>
        <v>670</v>
      </c>
      <c r="F11" s="10">
        <v>250</v>
      </c>
      <c r="G11" s="10"/>
      <c r="I11" s="2"/>
      <c r="J11" s="1"/>
      <c r="K11" s="3"/>
    </row>
    <row r="12" spans="1:11" x14ac:dyDescent="0.25">
      <c r="A12" s="9"/>
      <c r="B12" s="9">
        <v>2</v>
      </c>
      <c r="C12" s="9" t="s">
        <v>61</v>
      </c>
      <c r="D12" s="10">
        <v>335</v>
      </c>
      <c r="E12" s="10">
        <f t="shared" si="0"/>
        <v>670</v>
      </c>
      <c r="F12" s="10">
        <v>239</v>
      </c>
      <c r="G12" s="10"/>
      <c r="I12" s="2"/>
      <c r="J12" s="1"/>
      <c r="K12" s="3"/>
    </row>
    <row r="13" spans="1:11" x14ac:dyDescent="0.25">
      <c r="A13" s="9"/>
      <c r="B13" s="9">
        <v>2</v>
      </c>
      <c r="C13" s="9" t="s">
        <v>62</v>
      </c>
      <c r="D13" s="10">
        <v>255</v>
      </c>
      <c r="E13" s="10">
        <f t="shared" si="0"/>
        <v>510</v>
      </c>
      <c r="F13" s="10">
        <v>299</v>
      </c>
      <c r="G13" s="10"/>
      <c r="I13" s="2"/>
      <c r="J13" s="1"/>
      <c r="K13" s="3"/>
    </row>
    <row r="14" spans="1:11" x14ac:dyDescent="0.25">
      <c r="A14" s="9"/>
      <c r="B14" s="9">
        <v>2</v>
      </c>
      <c r="C14" s="9" t="s">
        <v>63</v>
      </c>
      <c r="D14" s="10">
        <v>255</v>
      </c>
      <c r="E14" s="10">
        <f t="shared" si="0"/>
        <v>510</v>
      </c>
      <c r="F14" s="10">
        <v>469</v>
      </c>
      <c r="G14" s="10"/>
      <c r="I14" s="2"/>
      <c r="J14" s="1"/>
      <c r="K14" s="3"/>
    </row>
    <row r="15" spans="1:11" x14ac:dyDescent="0.25">
      <c r="A15" s="9"/>
      <c r="B15" s="9">
        <v>24</v>
      </c>
      <c r="C15" s="9" t="s">
        <v>64</v>
      </c>
      <c r="D15" s="10">
        <v>255</v>
      </c>
      <c r="E15" s="10">
        <f t="shared" si="0"/>
        <v>6120</v>
      </c>
      <c r="F15" s="10">
        <v>399</v>
      </c>
      <c r="G15" s="10"/>
      <c r="I15" s="2"/>
      <c r="J15" s="1"/>
      <c r="K15" s="3"/>
    </row>
    <row r="16" spans="1:11" x14ac:dyDescent="0.25">
      <c r="A16" s="9"/>
      <c r="B16" s="9">
        <v>2</v>
      </c>
      <c r="C16" s="9" t="s">
        <v>15</v>
      </c>
      <c r="D16" s="10">
        <v>225</v>
      </c>
      <c r="E16" s="10">
        <f t="shared" si="0"/>
        <v>450</v>
      </c>
      <c r="F16" s="10">
        <v>339</v>
      </c>
      <c r="G16" s="10">
        <f t="shared" ref="G16" si="2">(F16-D16)*B16</f>
        <v>228</v>
      </c>
      <c r="I16" s="2"/>
      <c r="J16" s="1"/>
      <c r="K16" s="3"/>
    </row>
    <row r="17" spans="1:11" x14ac:dyDescent="0.25">
      <c r="A17" s="9"/>
      <c r="B17" s="9">
        <v>2</v>
      </c>
      <c r="C17" s="9" t="s">
        <v>65</v>
      </c>
      <c r="D17" s="10">
        <v>245</v>
      </c>
      <c r="E17" s="10">
        <f t="shared" si="0"/>
        <v>490</v>
      </c>
      <c r="F17" s="10"/>
      <c r="G17" s="10"/>
      <c r="I17" s="2"/>
      <c r="J17" s="1"/>
      <c r="K17" s="3"/>
    </row>
    <row r="18" spans="1:11" x14ac:dyDescent="0.25">
      <c r="A18" s="9"/>
      <c r="B18" s="9"/>
      <c r="C18" s="9"/>
      <c r="D18" s="10"/>
      <c r="E18" s="10">
        <f t="shared" si="0"/>
        <v>0</v>
      </c>
      <c r="F18" s="10"/>
      <c r="G18" s="10"/>
      <c r="I18" s="2"/>
      <c r="J18" s="1"/>
      <c r="K18" s="3"/>
    </row>
    <row r="19" spans="1:11" x14ac:dyDescent="0.25">
      <c r="A19" s="9"/>
      <c r="B19" s="9"/>
      <c r="C19" s="9"/>
      <c r="D19" s="10"/>
      <c r="E19" s="10">
        <f t="shared" si="0"/>
        <v>0</v>
      </c>
      <c r="F19" s="10"/>
      <c r="G19" s="10"/>
      <c r="I19" s="2"/>
      <c r="J19" s="1"/>
      <c r="K19" s="3"/>
    </row>
    <row r="20" spans="1:11" x14ac:dyDescent="0.25">
      <c r="A20" s="9"/>
      <c r="B20" s="9"/>
      <c r="C20" s="9"/>
      <c r="D20" s="10"/>
      <c r="E20" s="10">
        <f t="shared" si="0"/>
        <v>0</v>
      </c>
      <c r="F20" s="10"/>
      <c r="G20" s="10">
        <f t="shared" si="1"/>
        <v>0</v>
      </c>
      <c r="I20" s="2"/>
      <c r="J20" s="1"/>
      <c r="K20" s="3"/>
    </row>
    <row r="21" spans="1:11" x14ac:dyDescent="0.25">
      <c r="A21" s="9"/>
      <c r="B21" s="9"/>
      <c r="C21" s="9"/>
      <c r="D21" s="10">
        <v>239</v>
      </c>
      <c r="E21" s="10">
        <f t="shared" si="0"/>
        <v>0</v>
      </c>
      <c r="F21" s="10"/>
      <c r="G21" s="10">
        <f t="shared" si="1"/>
        <v>0</v>
      </c>
      <c r="I21" s="2"/>
      <c r="J21" s="1"/>
      <c r="K21" s="3"/>
    </row>
    <row r="22" spans="1:11" x14ac:dyDescent="0.25">
      <c r="A22" s="9"/>
      <c r="B22" s="9"/>
      <c r="C22" s="9"/>
      <c r="D22" s="10">
        <v>408</v>
      </c>
      <c r="E22" s="10">
        <f t="shared" si="0"/>
        <v>0</v>
      </c>
      <c r="F22" s="10"/>
      <c r="G22" s="10">
        <f t="shared" si="1"/>
        <v>0</v>
      </c>
      <c r="I22" s="2"/>
      <c r="J22" s="1"/>
      <c r="K22" s="3"/>
    </row>
    <row r="23" spans="1:11" x14ac:dyDescent="0.25">
      <c r="B23">
        <f>SUM(B4:B22)</f>
        <v>54</v>
      </c>
      <c r="G23" s="5"/>
      <c r="I23" s="2"/>
      <c r="J23" s="1"/>
      <c r="K23" s="3"/>
    </row>
    <row r="24" spans="1:11" x14ac:dyDescent="0.25">
      <c r="E24" s="4">
        <f>SUM(E4:E23)</f>
        <v>13426</v>
      </c>
      <c r="G24" s="5">
        <f>SUM(G4:G23)</f>
        <v>1308</v>
      </c>
      <c r="I24" s="2"/>
      <c r="J24" s="1"/>
      <c r="K24" s="3"/>
    </row>
    <row r="25" spans="1:11" x14ac:dyDescent="0.25">
      <c r="A25" t="s">
        <v>74</v>
      </c>
      <c r="I25" s="2"/>
      <c r="J25" s="1"/>
      <c r="K25" s="3"/>
    </row>
    <row r="26" spans="1:11" x14ac:dyDescent="0.25">
      <c r="I26" s="2"/>
      <c r="J26" s="1"/>
      <c r="K26" s="3"/>
    </row>
    <row r="27" spans="1:11" x14ac:dyDescent="0.25">
      <c r="I27" s="2"/>
      <c r="J27" s="1"/>
      <c r="K27" s="3"/>
    </row>
    <row r="28" spans="1:11" x14ac:dyDescent="0.25">
      <c r="I28" s="2"/>
      <c r="J28" s="1"/>
      <c r="K28" s="3"/>
    </row>
    <row r="29" spans="1:11" x14ac:dyDescent="0.25">
      <c r="I29" s="2"/>
      <c r="J29" s="1"/>
      <c r="K29" s="3"/>
    </row>
    <row r="30" spans="1:11" x14ac:dyDescent="0.25">
      <c r="I30" s="2"/>
      <c r="J30" s="1"/>
      <c r="K30" s="3"/>
    </row>
    <row r="31" spans="1:11" x14ac:dyDescent="0.25">
      <c r="I31" s="2"/>
      <c r="J31" s="1"/>
      <c r="K31" s="3"/>
    </row>
    <row r="32" spans="1:11" x14ac:dyDescent="0.25">
      <c r="I32" s="2"/>
      <c r="J32" s="1"/>
      <c r="K32" s="3"/>
    </row>
    <row r="33" spans="9:11" x14ac:dyDescent="0.25">
      <c r="I33" s="2"/>
      <c r="J33" s="1"/>
      <c r="K33" s="3"/>
    </row>
    <row r="34" spans="9:11" x14ac:dyDescent="0.25">
      <c r="I34" s="2"/>
      <c r="J34" s="1"/>
      <c r="K34" s="3"/>
    </row>
    <row r="35" spans="9:11" x14ac:dyDescent="0.25">
      <c r="I35" s="2"/>
      <c r="J35" s="1"/>
      <c r="K35" s="3"/>
    </row>
    <row r="36" spans="9:11" x14ac:dyDescent="0.25">
      <c r="I36" s="2"/>
      <c r="J36" s="1"/>
      <c r="K36" s="3"/>
    </row>
    <row r="37" spans="9:11" x14ac:dyDescent="0.25">
      <c r="I37" s="2"/>
      <c r="J37" s="1"/>
      <c r="K37" s="3"/>
    </row>
    <row r="38" spans="9:11" x14ac:dyDescent="0.25">
      <c r="I38" s="2"/>
      <c r="J38" s="1"/>
      <c r="K38" s="3"/>
    </row>
    <row r="39" spans="9:11" x14ac:dyDescent="0.25">
      <c r="I39" s="2"/>
      <c r="J39" s="1"/>
      <c r="K39" s="3"/>
    </row>
    <row r="40" spans="9:11" x14ac:dyDescent="0.25">
      <c r="I40" s="2"/>
      <c r="J40" s="1"/>
      <c r="K40" s="3"/>
    </row>
    <row r="41" spans="9:11" x14ac:dyDescent="0.25">
      <c r="I41" s="2"/>
      <c r="J41" s="1"/>
      <c r="K41" s="3"/>
    </row>
    <row r="42" spans="9:11" x14ac:dyDescent="0.25">
      <c r="I42" s="2"/>
      <c r="J42" s="1"/>
      <c r="K42" s="3"/>
    </row>
    <row r="43" spans="9:11" x14ac:dyDescent="0.25">
      <c r="I43" s="2"/>
      <c r="J43" s="1"/>
      <c r="K43" s="3"/>
    </row>
    <row r="44" spans="9:11" x14ac:dyDescent="0.25">
      <c r="I44" s="2"/>
      <c r="J44" s="6"/>
      <c r="K44" s="3"/>
    </row>
    <row r="45" spans="9:11" x14ac:dyDescent="0.25">
      <c r="I45" s="2"/>
      <c r="J45" s="1"/>
      <c r="K45" s="3"/>
    </row>
    <row r="46" spans="9:11" x14ac:dyDescent="0.25">
      <c r="I46" s="2"/>
      <c r="J46" s="1"/>
      <c r="K46" s="3"/>
    </row>
    <row r="47" spans="9:11" x14ac:dyDescent="0.25">
      <c r="I47" s="2"/>
      <c r="J47" s="1"/>
      <c r="K47" s="3"/>
    </row>
    <row r="48" spans="9:11" x14ac:dyDescent="0.25">
      <c r="I48" s="2"/>
      <c r="J48" s="1"/>
      <c r="K48" s="3"/>
    </row>
    <row r="49" spans="9:11" x14ac:dyDescent="0.25">
      <c r="I49" s="2"/>
      <c r="J49" s="1"/>
      <c r="K49" s="3"/>
    </row>
    <row r="50" spans="9:11" x14ac:dyDescent="0.25">
      <c r="I50" s="2"/>
      <c r="J50" s="1"/>
      <c r="K50" s="3"/>
    </row>
    <row r="51" spans="9:11" x14ac:dyDescent="0.25">
      <c r="I51" s="2"/>
      <c r="J51" s="1"/>
      <c r="K51" s="3"/>
    </row>
    <row r="52" spans="9:11" x14ac:dyDescent="0.25">
      <c r="I52" s="2"/>
      <c r="J52" s="1"/>
      <c r="K52" s="3"/>
    </row>
    <row r="53" spans="9:11" x14ac:dyDescent="0.25">
      <c r="I53" s="2"/>
      <c r="J53" s="1"/>
      <c r="K53" s="3"/>
    </row>
    <row r="54" spans="9:11" x14ac:dyDescent="0.25">
      <c r="I54" s="2"/>
      <c r="J54" s="1"/>
      <c r="K54" s="3"/>
    </row>
    <row r="55" spans="9:11" x14ac:dyDescent="0.25">
      <c r="I55" s="2"/>
      <c r="J55" s="1"/>
      <c r="K55" s="3"/>
    </row>
    <row r="56" spans="9:11" x14ac:dyDescent="0.25">
      <c r="I56" s="2"/>
      <c r="J56" s="1"/>
      <c r="K56" s="3"/>
    </row>
    <row r="57" spans="9:11" x14ac:dyDescent="0.25">
      <c r="I57" s="2"/>
      <c r="J57" s="1"/>
      <c r="K57" s="3"/>
    </row>
    <row r="58" spans="9:11" x14ac:dyDescent="0.25">
      <c r="I58" s="2"/>
      <c r="J58" s="1"/>
      <c r="K58" s="3"/>
    </row>
    <row r="59" spans="9:11" x14ac:dyDescent="0.25">
      <c r="I59" s="2"/>
      <c r="J59" s="1"/>
      <c r="K59" s="3"/>
    </row>
    <row r="60" spans="9:11" x14ac:dyDescent="0.25">
      <c r="I60" s="2"/>
      <c r="J60" s="1"/>
      <c r="K60" s="3"/>
    </row>
    <row r="61" spans="9:11" x14ac:dyDescent="0.25">
      <c r="I61" s="2"/>
      <c r="J61" s="1"/>
      <c r="K61" s="3"/>
    </row>
    <row r="62" spans="9:11" x14ac:dyDescent="0.25">
      <c r="I62" s="2"/>
      <c r="J62" s="1"/>
      <c r="K62" s="3"/>
    </row>
    <row r="63" spans="9:11" x14ac:dyDescent="0.25">
      <c r="I63" s="1"/>
      <c r="J63" s="1"/>
      <c r="K63" s="3"/>
    </row>
    <row r="64" spans="9:11" x14ac:dyDescent="0.25">
      <c r="I64" s="1"/>
      <c r="J64" s="1"/>
      <c r="K64" s="3">
        <f>SUM(K1:K63)</f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LIFE COLCHAO</vt:lpstr>
      <vt:lpstr>COMPRA HIPER 2026</vt:lpstr>
      <vt:lpstr>porto velho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franciele cristina azevedo nunes</dc:creator>
  <cp:lastModifiedBy>Saldão de Móveis Jerusalém</cp:lastModifiedBy>
  <dcterms:created xsi:type="dcterms:W3CDTF">2025-06-11T18:13:04Z</dcterms:created>
  <dcterms:modified xsi:type="dcterms:W3CDTF">2026-01-19T17:34:47Z</dcterms:modified>
</cp:coreProperties>
</file>